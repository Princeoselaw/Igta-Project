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fileSharing readOnlyRecommended="1"/>
  <workbookPr codeName="ThisWorkbook" hidePivotFieldList="1"/>
  <mc:AlternateContent xmlns:mc="http://schemas.openxmlformats.org/markup-compatibility/2006">
    <mc:Choice Requires="x15">
      <x15ac:absPath xmlns:x15ac="http://schemas.microsoft.com/office/spreadsheetml/2010/11/ac" url="https://d.docs.live.net/7cd859e81f8cd5c5/Documents/"/>
    </mc:Choice>
  </mc:AlternateContent>
  <xr:revisionPtr revIDLastSave="1228" documentId="8_{301AFB5C-2D47-4BB2-8D08-68BD97B88C98}" xr6:coauthVersionLast="47" xr6:coauthVersionMax="47" xr10:uidLastSave="{85770052-630D-4A9F-AE12-F4D7424AB763}"/>
  <bookViews>
    <workbookView xWindow="-110" yWindow="-110" windowWidth="19420" windowHeight="10300" firstSheet="1" activeTab="3" xr2:uid="{D9CD6243-48FA-44A8-9971-7736936F2979}"/>
  </bookViews>
  <sheets>
    <sheet name="SalesData" sheetId="13" r:id="rId1"/>
    <sheet name="Pivot_Map " sheetId="15" r:id="rId2"/>
    <sheet name="Pivot_Trend" sheetId="16" r:id="rId3"/>
    <sheet name="Pivot_Gender" sheetId="17" r:id="rId4"/>
    <sheet name="Pivot_Product" sheetId="18" r:id="rId5"/>
    <sheet name="Pivot_KPI's" sheetId="23" r:id="rId6"/>
    <sheet name="Dashboard" sheetId="10" r:id="rId7"/>
  </sheets>
  <definedNames>
    <definedName name="_xlchart.v5.0" hidden="1">'Pivot_Map '!$E$3</definedName>
    <definedName name="_xlchart.v5.1" hidden="1">'Pivot_Map '!$E$4:$E$36</definedName>
    <definedName name="_xlchart.v5.2" hidden="1">'Pivot_Map '!$F$3</definedName>
    <definedName name="_xlchart.v5.3" hidden="1">'Pivot_Map '!$F$4:$F$36</definedName>
    <definedName name="ExternalData_1" localSheetId="0" hidden="1">SalesData!$A$1:$N$101</definedName>
    <definedName name="Slicer_ProductCategory">#N/A</definedName>
    <definedName name="Slicer_Region">#N/A</definedName>
  </definedNames>
  <calcPr calcId="191028"/>
  <pivotCaches>
    <pivotCache cacheId="0"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 i="23" l="1"/>
  <c r="O2" i="13"/>
  <c r="B6" i="23"/>
  <c r="C6" i="23"/>
  <c r="A6" i="2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BF205D9-2224-440D-996C-B7D6DFE874C2}" keepAlive="1" name="Query - SalesData" description="Connection to the 'SalesData' query in the workbook." type="5" refreshedVersion="8" background="1" saveData="1">
    <dbPr connection="Provider=Microsoft.Mashup.OleDb.1;Data Source=$Workbook$;Location=SalesData;Extended Properties=&quot;&quot;" command="SELECT * FROM [SalesData]"/>
  </connection>
</connections>
</file>

<file path=xl/sharedStrings.xml><?xml version="1.0" encoding="utf-8"?>
<sst xmlns="http://schemas.openxmlformats.org/spreadsheetml/2006/main" count="819" uniqueCount="110">
  <si>
    <t>OrderID</t>
  </si>
  <si>
    <t>Date</t>
  </si>
  <si>
    <t>Country</t>
  </si>
  <si>
    <t>Region</t>
  </si>
  <si>
    <t>State</t>
  </si>
  <si>
    <t>City</t>
  </si>
  <si>
    <t>ProductCategory</t>
  </si>
  <si>
    <t>ProductType</t>
  </si>
  <si>
    <t>Gender</t>
  </si>
  <si>
    <t>Age</t>
  </si>
  <si>
    <t>Quantity</t>
  </si>
  <si>
    <t>UnitPrice</t>
  </si>
  <si>
    <t>TotalSales</t>
  </si>
  <si>
    <t>Profit</t>
  </si>
  <si>
    <t>Count</t>
  </si>
  <si>
    <t>Nigeria</t>
  </si>
  <si>
    <t>North</t>
  </si>
  <si>
    <t>Kano</t>
  </si>
  <si>
    <t>Electronics</t>
  </si>
  <si>
    <t>Smartphone</t>
  </si>
  <si>
    <t>Male</t>
  </si>
  <si>
    <t>South</t>
  </si>
  <si>
    <t>Lagos</t>
  </si>
  <si>
    <t>Fashion</t>
  </si>
  <si>
    <t>Men's Clothing</t>
  </si>
  <si>
    <t>West</t>
  </si>
  <si>
    <t>Ogun</t>
  </si>
  <si>
    <t>Abeokuta</t>
  </si>
  <si>
    <t>Home &amp; Kitchen</t>
  </si>
  <si>
    <t>Cookware</t>
  </si>
  <si>
    <t>Female</t>
  </si>
  <si>
    <t>East</t>
  </si>
  <si>
    <t>Enugu</t>
  </si>
  <si>
    <t>Laptop</t>
  </si>
  <si>
    <t>Kaduna</t>
  </si>
  <si>
    <t>Women's Clothing</t>
  </si>
  <si>
    <t>Rivers</t>
  </si>
  <si>
    <t>Port Harcourt</t>
  </si>
  <si>
    <t>Tablet</t>
  </si>
  <si>
    <t>Oyo</t>
  </si>
  <si>
    <t>Ibadan</t>
  </si>
  <si>
    <t>Furniture</t>
  </si>
  <si>
    <t>Anambra</t>
  </si>
  <si>
    <t>Awka</t>
  </si>
  <si>
    <t>Children's Clothing</t>
  </si>
  <si>
    <t>Katsina</t>
  </si>
  <si>
    <t>Accessories</t>
  </si>
  <si>
    <t>Delta</t>
  </si>
  <si>
    <t>Asaba</t>
  </si>
  <si>
    <t>Osun</t>
  </si>
  <si>
    <t>Osogbo</t>
  </si>
  <si>
    <t>Imo</t>
  </si>
  <si>
    <t>Owerri</t>
  </si>
  <si>
    <t>Appliances</t>
  </si>
  <si>
    <t>Sokoto</t>
  </si>
  <si>
    <t>Edo</t>
  </si>
  <si>
    <t>Benin City</t>
  </si>
  <si>
    <t>Ondo</t>
  </si>
  <si>
    <t>Akure</t>
  </si>
  <si>
    <t>Abia</t>
  </si>
  <si>
    <t>Umuahia</t>
  </si>
  <si>
    <t>Bauchi</t>
  </si>
  <si>
    <t>Akwa Ibom</t>
  </si>
  <si>
    <t>Uyo</t>
  </si>
  <si>
    <t>Ekiti</t>
  </si>
  <si>
    <t>Ado-Ekiti</t>
  </si>
  <si>
    <t>Ebonyi</t>
  </si>
  <si>
    <t>Abakaliki</t>
  </si>
  <si>
    <t>Zamfara</t>
  </si>
  <si>
    <t>Gusau</t>
  </si>
  <si>
    <t>Bayelsa</t>
  </si>
  <si>
    <t>Yenagoa</t>
  </si>
  <si>
    <t>Kwara</t>
  </si>
  <si>
    <t>Ilorin</t>
  </si>
  <si>
    <t>Cross River</t>
  </si>
  <si>
    <t>Calabar</t>
  </si>
  <si>
    <t>Borno</t>
  </si>
  <si>
    <t>Maiduguri</t>
  </si>
  <si>
    <t>Plateau</t>
  </si>
  <si>
    <t>Jos</t>
  </si>
  <si>
    <t>Gombe</t>
  </si>
  <si>
    <t>Yobe</t>
  </si>
  <si>
    <t>Damaturu</t>
  </si>
  <si>
    <t>Jigawa</t>
  </si>
  <si>
    <t>Dutse</t>
  </si>
  <si>
    <t>Kebbi</t>
  </si>
  <si>
    <t>Birnin Kebbi</t>
  </si>
  <si>
    <t>Adamawa</t>
  </si>
  <si>
    <t>Yola</t>
  </si>
  <si>
    <t>Taraba</t>
  </si>
  <si>
    <t>Jalingo</t>
  </si>
  <si>
    <t>Niger</t>
  </si>
  <si>
    <t>Minna</t>
  </si>
  <si>
    <t>Row Labels</t>
  </si>
  <si>
    <t>Sum of TotalSales</t>
  </si>
  <si>
    <t>Jan</t>
  </si>
  <si>
    <t>Feb</t>
  </si>
  <si>
    <t>Mar</t>
  </si>
  <si>
    <t>May</t>
  </si>
  <si>
    <t>Jul</t>
  </si>
  <si>
    <t>Aug</t>
  </si>
  <si>
    <t>Sep</t>
  </si>
  <si>
    <t>Sum of Profit</t>
  </si>
  <si>
    <t>Sum of Profit  Margin</t>
  </si>
  <si>
    <r>
      <rPr>
        <b/>
        <sz val="48"/>
        <color rgb="FF339966"/>
        <rFont val="Calibri"/>
        <family val="2"/>
        <scheme val="minor"/>
      </rPr>
      <t>IGTA</t>
    </r>
    <r>
      <rPr>
        <b/>
        <sz val="48"/>
        <color theme="1"/>
        <rFont val="Calibri"/>
        <family val="2"/>
        <scheme val="minor"/>
      </rPr>
      <t xml:space="preserve"> Virtual Store Dashboard</t>
    </r>
  </si>
  <si>
    <t>Apr</t>
  </si>
  <si>
    <t>Jun</t>
  </si>
  <si>
    <t>Oct</t>
  </si>
  <si>
    <t>(All)</t>
  </si>
  <si>
    <t>Total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</si>
</sst>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lt;1000000]\₦#,##0.0,&quot; K&quot;;[&lt;1000000000]\₦#,##0.0,,&quot; M&quot;;\₦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48"/>
      <color rgb="FF339966"/>
      <name val="Calibri"/>
      <family val="2"/>
      <scheme val="minor"/>
    </font>
    <font>
      <b/>
      <sz val="48"/>
      <color theme="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7558519241921"/>
        <bgColor indexed="64"/>
      </patternFill>
    </fill>
    <fill>
      <patternFill patternType="solid">
        <fgColor theme="4" tint="0.79998168889431442"/>
        <bgColor theme="4" tint="0.79998168889431442"/>
      </patternFill>
    </fill>
    <fill>
      <patternFill patternType="solid">
        <fgColor theme="7"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14" fontId="0" fillId="0" borderId="0" xfId="0" applyNumberFormat="1"/>
    <xf numFmtId="0" fontId="0" fillId="0" borderId="0" xfId="0" pivotButton="1"/>
    <xf numFmtId="164" fontId="0" fillId="0" borderId="0" xfId="0" applyNumberFormat="1"/>
    <xf numFmtId="0" fontId="0" fillId="33" borderId="0" xfId="0" applyFill="1"/>
    <xf numFmtId="0" fontId="0" fillId="0" borderId="0" xfId="0" applyAlignment="1">
      <alignment horizontal="left"/>
    </xf>
    <xf numFmtId="165" fontId="0" fillId="0" borderId="0" xfId="0" applyNumberFormat="1"/>
    <xf numFmtId="0" fontId="16" fillId="34" borderId="10" xfId="0" applyFont="1" applyFill="1" applyBorder="1"/>
    <xf numFmtId="0" fontId="0" fillId="35" borderId="0" xfId="0" applyFill="1"/>
    <xf numFmtId="0" fontId="19" fillId="35" borderId="0" xfId="0" applyFont="1" applyFill="1" applyAlignment="1">
      <alignment horizont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9">
    <dxf>
      <numFmt numFmtId="165" formatCode="[&lt;1000000]\₦#,##0.0,&quot; K&quot;;[&lt;1000000000]\₦#,##0.0,,&quot; M&quot;;\₦0"/>
    </dxf>
    <dxf>
      <numFmt numFmtId="165" formatCode="[&lt;1000000]\₦#,##0.0,&quot; K&quot;;[&lt;1000000000]\₦#,##0.0,,&quot; M&quot;;\₦0"/>
    </dxf>
    <dxf>
      <numFmt numFmtId="164" formatCode="0.0%"/>
    </dxf>
    <dxf>
      <numFmt numFmtId="165" formatCode="[&lt;1000000]\₦#,##0.0,&quot; K&quot;;[&lt;1000000000]\₦#,##0.0,,&quot; M&quot;;\₦0"/>
    </dxf>
    <dxf>
      <numFmt numFmtId="165" formatCode="[&lt;1000000]\₦#,##0.0,&quot; K&quot;;[&lt;1000000000]\₦#,##0.0,,&quot; M&quot;;\₦0"/>
    </dxf>
    <dxf>
      <numFmt numFmtId="164" formatCode="0.0%"/>
    </dxf>
    <dxf>
      <numFmt numFmtId="164" formatCode="0.0%"/>
    </dxf>
    <dxf>
      <numFmt numFmtId="165" formatCode="[&lt;1000000]\₦#,##0.0,&quot; K&quot;;[&lt;1000000000]\₦#,##0.0,,&quot; M&quot;;\₦0"/>
    </dxf>
    <dxf>
      <numFmt numFmtId="165" formatCode="[&lt;1000000]\₦#,##0.0,&quot; K&quot;;[&lt;1000000000]\₦#,##0.0,,&quot; M&quo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font>
        <b/>
        <color theme="1"/>
      </font>
      <border>
        <bottom style="thin">
          <color theme="4"/>
        </bottom>
        <vertical/>
        <horizontal/>
      </border>
    </dxf>
    <dxf>
      <font>
        <b/>
        <i val="0"/>
        <sz val="24"/>
        <color theme="0"/>
        <name val="Calibri"/>
        <family val="2"/>
        <scheme val="minor"/>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My_Custom Theme" pivot="0" table="0" count="10" xr9:uid="{3F49CEB0-C0E8-406C-9D1B-49E4B3BD4E08}">
      <tableStyleElement type="wholeTable" dxfId="18"/>
      <tableStyleElement type="headerRow" dxfId="17"/>
    </tableStyle>
  </tableStyles>
  <colors>
    <mruColors>
      <color rgb="FFA4F0D3"/>
      <color rgb="FF339966"/>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A4F0D3"/>
            </patternFill>
          </fill>
          <border>
            <left style="thin">
              <color rgb="FF999999"/>
            </left>
            <right style="thin">
              <color rgb="FF999999"/>
            </right>
            <top style="thin">
              <color rgb="FF999999"/>
            </top>
            <bottom style="thin">
              <color rgb="FF999999"/>
            </bottom>
            <vertical/>
            <horizontal/>
          </border>
        </dxf>
        <dxf>
          <font>
            <sz val="24"/>
            <color theme="2" tint="-0.499984740745262"/>
          </font>
          <fill>
            <patternFill patternType="solid">
              <fgColor theme="4" tint="0.79995117038483843"/>
              <bgColor theme="9" tint="0.79998168889431442"/>
            </patternFill>
          </fill>
          <border>
            <left style="thin">
              <color rgb="FFCCCCCC"/>
            </left>
            <right style="thin">
              <color rgb="FFCCCCCC"/>
            </right>
            <top style="thin">
              <color rgb="FFCCCCCC"/>
            </top>
            <bottom style="thin">
              <color rgb="FFCCCCCC"/>
            </bottom>
            <vertical/>
            <horizontal/>
          </border>
        </dxf>
        <dxf>
          <font>
            <b/>
            <i val="0"/>
            <sz val="24"/>
            <color theme="0"/>
            <name val="Calibri Light"/>
            <family val="2"/>
            <scheme val="major"/>
          </font>
          <fill>
            <patternFill patternType="solid">
              <fgColor theme="4" tint="0.59999389629810485"/>
              <bgColor theme="9"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My_Custom Theme">
        <x14:slicerStyle name="My_Custom Them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Dashboard.xlsm]Pivot_Product!PivotTable4</c:name>
    <c:fmtId val="8"/>
  </c:pivotSource>
  <c:chart>
    <c:autoTitleDeleted val="1"/>
    <c:pivotFmts>
      <c:pivotFmt>
        <c:idx val="0"/>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Pivot_Product!$B$3</c:f>
              <c:strCache>
                <c:ptCount val="1"/>
                <c:pt idx="0">
                  <c:v>Total</c:v>
                </c:pt>
              </c:strCache>
            </c:strRef>
          </c:tx>
          <c:spPr>
            <a:solidFill>
              <a:schemeClr val="accent6">
                <a:lumMod val="60000"/>
                <a:lumOff val="40000"/>
              </a:schemeClr>
            </a:solidFill>
            <a:ln>
              <a:noFill/>
            </a:ln>
            <a:effectLst/>
          </c:spPr>
          <c:invertIfNegative val="0"/>
          <c:cat>
            <c:strRef>
              <c:f>Pivot_Product!$A$4:$A$6</c:f>
              <c:strCache>
                <c:ptCount val="3"/>
                <c:pt idx="0">
                  <c:v>Electronics</c:v>
                </c:pt>
                <c:pt idx="1">
                  <c:v>Fashion</c:v>
                </c:pt>
                <c:pt idx="2">
                  <c:v>Home &amp; Kitchen</c:v>
                </c:pt>
              </c:strCache>
            </c:strRef>
          </c:cat>
          <c:val>
            <c:numRef>
              <c:f>Pivot_Product!$B$4:$B$6</c:f>
              <c:numCache>
                <c:formatCode>General</c:formatCode>
                <c:ptCount val="3"/>
                <c:pt idx="0">
                  <c:v>2638000</c:v>
                </c:pt>
                <c:pt idx="1">
                  <c:v>2204000</c:v>
                </c:pt>
                <c:pt idx="2">
                  <c:v>2953500</c:v>
                </c:pt>
              </c:numCache>
            </c:numRef>
          </c:val>
          <c:extLst>
            <c:ext xmlns:c16="http://schemas.microsoft.com/office/drawing/2014/chart" uri="{C3380CC4-5D6E-409C-BE32-E72D297353CC}">
              <c16:uniqueId val="{00000000-D70B-434F-BE16-F90A80E33BF1}"/>
            </c:ext>
          </c:extLst>
        </c:ser>
        <c:dLbls>
          <c:showLegendKey val="0"/>
          <c:showVal val="0"/>
          <c:showCatName val="0"/>
          <c:showSerName val="0"/>
          <c:showPercent val="0"/>
          <c:showBubbleSize val="0"/>
        </c:dLbls>
        <c:gapWidth val="219"/>
        <c:overlap val="-27"/>
        <c:axId val="1803097135"/>
        <c:axId val="1803100015"/>
      </c:barChart>
      <c:catAx>
        <c:axId val="1803097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1" i="0" u="none" strike="noStrike" kern="1200" baseline="0">
                <a:solidFill>
                  <a:schemeClr val="accent6">
                    <a:lumMod val="60000"/>
                    <a:lumOff val="40000"/>
                  </a:schemeClr>
                </a:solidFill>
                <a:latin typeface="+mn-lt"/>
                <a:ea typeface="+mn-ea"/>
                <a:cs typeface="+mn-cs"/>
              </a:defRPr>
            </a:pPr>
            <a:endParaRPr lang="en-US"/>
          </a:p>
        </c:txPr>
        <c:crossAx val="1803100015"/>
        <c:crosses val="autoZero"/>
        <c:auto val="1"/>
        <c:lblAlgn val="ctr"/>
        <c:lblOffset val="100"/>
        <c:noMultiLvlLbl val="0"/>
      </c:catAx>
      <c:valAx>
        <c:axId val="1803100015"/>
        <c:scaling>
          <c:orientation val="minMax"/>
        </c:scaling>
        <c:delete val="1"/>
        <c:axPos val="l"/>
        <c:numFmt formatCode="General" sourceLinked="1"/>
        <c:majorTickMark val="out"/>
        <c:minorTickMark val="none"/>
        <c:tickLblPos val="nextTo"/>
        <c:crossAx val="1803097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Dashboard.xlsm]Pivot_Gender!PivotTable3</c:name>
    <c:fmtId val="24"/>
  </c:pivotSource>
  <c:chart>
    <c:autoTitleDeleted val="1"/>
    <c:pivotFmts>
      <c:pivotFmt>
        <c:idx val="0"/>
        <c:spPr>
          <a:solidFill>
            <a:schemeClr val="accent6">
              <a:lumMod val="60000"/>
              <a:lumOff val="4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20000"/>
              <a:lumOff val="80000"/>
            </a:schemeClr>
          </a:solidFill>
          <a:ln w="19050">
            <a:solidFill>
              <a:schemeClr val="lt1"/>
            </a:solidFill>
          </a:ln>
          <a:effectLst/>
        </c:spPr>
        <c:dLbl>
          <c:idx val="0"/>
          <c:layout>
            <c:manualLayout>
              <c:x val="-0.18055555555555558"/>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w="19050">
            <a:solidFill>
              <a:schemeClr val="lt1"/>
            </a:solidFill>
          </a:ln>
          <a:effectLst/>
        </c:spPr>
        <c:dLbl>
          <c:idx val="0"/>
          <c:layout>
            <c:manualLayout>
              <c:x val="0.17222222222222222"/>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w="19050">
            <a:solidFill>
              <a:schemeClr val="lt1"/>
            </a:solidFill>
          </a:ln>
          <a:effectLst/>
        </c:spPr>
        <c:dLbl>
          <c:idx val="0"/>
          <c:layout>
            <c:manualLayout>
              <c:x val="0.17222222222222222"/>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20000"/>
              <a:lumOff val="80000"/>
            </a:schemeClr>
          </a:solidFill>
          <a:ln w="19050">
            <a:solidFill>
              <a:schemeClr val="lt1"/>
            </a:solidFill>
          </a:ln>
          <a:effectLst/>
        </c:spPr>
        <c:dLbl>
          <c:idx val="0"/>
          <c:layout>
            <c:manualLayout>
              <c:x val="-0.18055555555555558"/>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w="19050">
            <a:solidFill>
              <a:schemeClr val="lt1"/>
            </a:solidFill>
          </a:ln>
          <a:effectLst/>
        </c:spPr>
        <c:dLbl>
          <c:idx val="0"/>
          <c:layout>
            <c:manualLayout>
              <c:x val="0.17222222222222222"/>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lumMod val="20000"/>
              <a:lumOff val="80000"/>
            </a:schemeClr>
          </a:solidFill>
          <a:ln w="19050">
            <a:solidFill>
              <a:schemeClr val="lt1"/>
            </a:solidFill>
          </a:ln>
          <a:effectLst/>
        </c:spPr>
        <c:dLbl>
          <c:idx val="0"/>
          <c:layout>
            <c:manualLayout>
              <c:x val="-0.18055555555555558"/>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lumMod val="60000"/>
              <a:lumOff val="4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6">
              <a:lumMod val="60000"/>
              <a:lumOff val="40000"/>
            </a:schemeClr>
          </a:solidFill>
          <a:ln w="19050">
            <a:solidFill>
              <a:schemeClr val="lt1"/>
            </a:solidFill>
          </a:ln>
          <a:effectLst/>
        </c:spPr>
        <c:dLbl>
          <c:idx val="0"/>
          <c:layout>
            <c:manualLayout>
              <c:x val="0.17222222222222222"/>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lumMod val="20000"/>
              <a:lumOff val="80000"/>
            </a:schemeClr>
          </a:solidFill>
          <a:ln w="19050">
            <a:solidFill>
              <a:schemeClr val="lt1"/>
            </a:solidFill>
          </a:ln>
          <a:effectLst/>
        </c:spPr>
        <c:dLbl>
          <c:idx val="0"/>
          <c:layout>
            <c:manualLayout>
              <c:x val="-0.18055555555555558"/>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lumMod val="60000"/>
              <a:lumOff val="40000"/>
            </a:schemeClr>
          </a:solidFill>
          <a:ln w="19050">
            <a:solidFill>
              <a:schemeClr val="lt1"/>
            </a:solidFill>
          </a:ln>
          <a:effectLst/>
        </c:spPr>
        <c:dLbl>
          <c:idx val="0"/>
          <c:layout>
            <c:manualLayout>
              <c:x val="0.17222222222222222"/>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6">
              <a:lumMod val="20000"/>
              <a:lumOff val="80000"/>
            </a:schemeClr>
          </a:solidFill>
          <a:ln w="19050">
            <a:solidFill>
              <a:schemeClr val="lt1"/>
            </a:solidFill>
          </a:ln>
          <a:effectLst/>
        </c:spPr>
        <c:dLbl>
          <c:idx val="0"/>
          <c:layout>
            <c:manualLayout>
              <c:x val="-0.18055555555555558"/>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6">
              <a:lumMod val="60000"/>
              <a:lumOff val="4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w="19050">
            <a:solidFill>
              <a:schemeClr val="lt1"/>
            </a:solidFill>
          </a:ln>
          <a:effectLst/>
        </c:spPr>
        <c:dLbl>
          <c:idx val="0"/>
          <c:layout>
            <c:manualLayout>
              <c:x val="0.17222222222222222"/>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6">
              <a:lumMod val="20000"/>
              <a:lumOff val="80000"/>
            </a:schemeClr>
          </a:solidFill>
          <a:ln w="19050">
            <a:solidFill>
              <a:schemeClr val="lt1"/>
            </a:solidFill>
          </a:ln>
          <a:effectLst/>
        </c:spPr>
        <c:dLbl>
          <c:idx val="0"/>
          <c:layout>
            <c:manualLayout>
              <c:x val="-0.18055555555555558"/>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6">
              <a:lumMod val="60000"/>
              <a:lumOff val="4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lumMod val="60000"/>
              <a:lumOff val="40000"/>
            </a:schemeClr>
          </a:solidFill>
          <a:ln w="19050">
            <a:solidFill>
              <a:schemeClr val="lt1"/>
            </a:solidFill>
          </a:ln>
          <a:effectLst/>
        </c:spPr>
        <c:dLbl>
          <c:idx val="0"/>
          <c:layout>
            <c:manualLayout>
              <c:x val="0.17222222222222222"/>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6">
              <a:lumMod val="20000"/>
              <a:lumOff val="80000"/>
            </a:schemeClr>
          </a:solidFill>
          <a:ln w="19050">
            <a:solidFill>
              <a:schemeClr val="lt1"/>
            </a:solidFill>
          </a:ln>
          <a:effectLst/>
        </c:spPr>
        <c:dLbl>
          <c:idx val="0"/>
          <c:layout>
            <c:manualLayout>
              <c:x val="-0.18055555555555558"/>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6">
              <a:lumMod val="60000"/>
              <a:lumOff val="4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lumMod val="60000"/>
              <a:lumOff val="40000"/>
            </a:schemeClr>
          </a:solidFill>
          <a:ln w="19050">
            <a:solidFill>
              <a:schemeClr val="lt1"/>
            </a:solidFill>
          </a:ln>
          <a:effectLst/>
        </c:spPr>
        <c:dLbl>
          <c:idx val="0"/>
          <c:layout>
            <c:manualLayout>
              <c:x val="0.17222222222222222"/>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6">
              <a:lumMod val="20000"/>
              <a:lumOff val="80000"/>
            </a:schemeClr>
          </a:solidFill>
          <a:ln w="19050">
            <a:solidFill>
              <a:schemeClr val="lt1"/>
            </a:solidFill>
          </a:ln>
          <a:effectLst/>
        </c:spPr>
        <c:dLbl>
          <c:idx val="0"/>
          <c:layout>
            <c:manualLayout>
              <c:x val="-0.18055555555555558"/>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6">
              <a:lumMod val="60000"/>
              <a:lumOff val="40000"/>
            </a:schemeClr>
          </a:solidFill>
          <a:ln w="19050">
            <a:solidFill>
              <a:schemeClr val="lt1"/>
            </a:solidFill>
          </a:ln>
          <a:effectLst/>
        </c:spPr>
        <c:dLbl>
          <c:idx val="0"/>
          <c:layout>
            <c:manualLayout>
              <c:x val="0.17222222222222222"/>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6">
              <a:lumMod val="20000"/>
              <a:lumOff val="80000"/>
            </a:schemeClr>
          </a:solidFill>
          <a:ln w="19050">
            <a:solidFill>
              <a:schemeClr val="lt1"/>
            </a:solidFill>
          </a:ln>
          <a:effectLst/>
        </c:spPr>
        <c:dLbl>
          <c:idx val="0"/>
          <c:layout>
            <c:manualLayout>
              <c:x val="-0.18055555555555558"/>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571819206426453"/>
          <c:y val="9.7091444431430973E-2"/>
          <c:w val="0.58210844514019744"/>
          <c:h val="0.77987340013782169"/>
        </c:manualLayout>
      </c:layout>
      <c:doughnutChart>
        <c:varyColors val="1"/>
        <c:ser>
          <c:idx val="0"/>
          <c:order val="0"/>
          <c:tx>
            <c:strRef>
              <c:f>Pivot_Gender!$B$3</c:f>
              <c:strCache>
                <c:ptCount val="1"/>
                <c:pt idx="0">
                  <c:v>Total</c:v>
                </c:pt>
              </c:strCache>
            </c:strRef>
          </c:tx>
          <c:spPr>
            <a:solidFill>
              <a:schemeClr val="accent6">
                <a:lumMod val="60000"/>
                <a:lumOff val="40000"/>
              </a:schemeClr>
            </a:solidFill>
          </c:spPr>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456E-4930-9828-C53EF8FE9D4C}"/>
              </c:ext>
            </c:extLst>
          </c:dPt>
          <c:dPt>
            <c:idx val="1"/>
            <c:bubble3D val="0"/>
            <c:spPr>
              <a:solidFill>
                <a:schemeClr val="accent6">
                  <a:lumMod val="20000"/>
                  <a:lumOff val="80000"/>
                </a:schemeClr>
              </a:solidFill>
              <a:ln w="19050">
                <a:solidFill>
                  <a:schemeClr val="lt1"/>
                </a:solidFill>
              </a:ln>
              <a:effectLst/>
            </c:spPr>
            <c:extLst>
              <c:ext xmlns:c16="http://schemas.microsoft.com/office/drawing/2014/chart" uri="{C3380CC4-5D6E-409C-BE32-E72D297353CC}">
                <c16:uniqueId val="{00000003-456E-4930-9828-C53EF8FE9D4C}"/>
              </c:ext>
            </c:extLst>
          </c:dPt>
          <c:dLbls>
            <c:dLbl>
              <c:idx val="0"/>
              <c:layout>
                <c:manualLayout>
                  <c:x val="0.17222222222222222"/>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56E-4930-9828-C53EF8FE9D4C}"/>
                </c:ext>
              </c:extLst>
            </c:dLbl>
            <c:dLbl>
              <c:idx val="1"/>
              <c:layout>
                <c:manualLayout>
                  <c:x val="-0.18055555555555558"/>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56E-4930-9828-C53EF8FE9D4C}"/>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Pivot_Gender!$A$4:$A$5</c:f>
              <c:strCache>
                <c:ptCount val="2"/>
                <c:pt idx="0">
                  <c:v>Female</c:v>
                </c:pt>
                <c:pt idx="1">
                  <c:v>Male</c:v>
                </c:pt>
              </c:strCache>
            </c:strRef>
          </c:cat>
          <c:val>
            <c:numRef>
              <c:f>Pivot_Gender!$B$4:$B$5</c:f>
              <c:numCache>
                <c:formatCode>[&lt;1000000]\₦#,##0.0," K";[&lt;1000000000]\₦#,##0.0,," M";\₦0</c:formatCode>
                <c:ptCount val="2"/>
                <c:pt idx="0">
                  <c:v>4467500</c:v>
                </c:pt>
                <c:pt idx="1">
                  <c:v>3328000</c:v>
                </c:pt>
              </c:numCache>
            </c:numRef>
          </c:val>
          <c:extLst>
            <c:ext xmlns:c16="http://schemas.microsoft.com/office/drawing/2014/chart" uri="{C3380CC4-5D6E-409C-BE32-E72D297353CC}">
              <c16:uniqueId val="{00000004-456E-4930-9828-C53EF8FE9D4C}"/>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Dashboard.xlsm]Pivot_Trend!PivotTable2</c:name>
    <c:fmtId val="16"/>
  </c:pivotSource>
  <c:chart>
    <c:autoTitleDeleted val="1"/>
    <c:pivotFmts>
      <c:pivotFmt>
        <c:idx val="0"/>
        <c:spPr>
          <a:solidFill>
            <a:schemeClr val="accent1"/>
          </a:solidFill>
          <a:ln w="28575" cap="rnd">
            <a:solidFill>
              <a:schemeClr val="accent6">
                <a:lumMod val="60000"/>
                <a:lumOff val="40000"/>
              </a:schemeClr>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60000"/>
                      <a:lumOff val="4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6">
                <a:lumMod val="60000"/>
                <a:lumOff val="40000"/>
              </a:schemeClr>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60000"/>
                      <a:lumOff val="4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28575" cap="rnd">
            <a:solidFill>
              <a:schemeClr val="accent6">
                <a:lumMod val="60000"/>
                <a:lumOff val="40000"/>
              </a:schemeClr>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60000"/>
                      <a:lumOff val="4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28575" cap="rnd">
            <a:solidFill>
              <a:schemeClr val="accent6">
                <a:lumMod val="60000"/>
                <a:lumOff val="40000"/>
              </a:schemeClr>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60000"/>
                      <a:lumOff val="4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spc="50" baseline="0">
                  <a:solidFill>
                    <a:schemeClr val="accent6">
                      <a:lumMod val="60000"/>
                      <a:lumOff val="4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spc="50" baseline="0">
                  <a:solidFill>
                    <a:schemeClr val="accent6">
                      <a:lumMod val="60000"/>
                      <a:lumOff val="4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spc="50" baseline="0">
                  <a:solidFill>
                    <a:schemeClr val="accent6">
                      <a:lumMod val="60000"/>
                      <a:lumOff val="4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1336066127615492E-2"/>
          <c:y val="4.0740631696445713E-2"/>
          <c:w val="0.93888888888888888"/>
          <c:h val="0.78305996378741083"/>
        </c:manualLayout>
      </c:layout>
      <c:lineChart>
        <c:grouping val="standard"/>
        <c:varyColors val="0"/>
        <c:ser>
          <c:idx val="0"/>
          <c:order val="0"/>
          <c:tx>
            <c:strRef>
              <c:f>Pivot_Trend!$B$3</c:f>
              <c:strCache>
                <c:ptCount val="1"/>
                <c:pt idx="0">
                  <c:v>Total</c:v>
                </c:pt>
              </c:strCache>
            </c:strRef>
          </c:tx>
          <c:spPr>
            <a:ln w="28575" cap="rnd">
              <a:solidFill>
                <a:schemeClr val="accent6">
                  <a:lumMod val="60000"/>
                  <a:lumOff val="4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2400" b="1" i="0" u="none" strike="noStrike" kern="1200" spc="50" baseline="0">
                    <a:solidFill>
                      <a:schemeClr val="accent6">
                        <a:lumMod val="60000"/>
                        <a:lumOff val="4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Pivot_Trend!$A$4:$A$13</c:f>
              <c:strCache>
                <c:ptCount val="10"/>
                <c:pt idx="0">
                  <c:v>Jan</c:v>
                </c:pt>
                <c:pt idx="1">
                  <c:v>Feb</c:v>
                </c:pt>
                <c:pt idx="2">
                  <c:v>Mar</c:v>
                </c:pt>
                <c:pt idx="3">
                  <c:v>Apr</c:v>
                </c:pt>
                <c:pt idx="4">
                  <c:v>May</c:v>
                </c:pt>
                <c:pt idx="5">
                  <c:v>Jun</c:v>
                </c:pt>
                <c:pt idx="6">
                  <c:v>Jul</c:v>
                </c:pt>
                <c:pt idx="7">
                  <c:v>Aug</c:v>
                </c:pt>
                <c:pt idx="8">
                  <c:v>Sep</c:v>
                </c:pt>
                <c:pt idx="9">
                  <c:v>Oct</c:v>
                </c:pt>
              </c:strCache>
            </c:strRef>
          </c:cat>
          <c:val>
            <c:numRef>
              <c:f>Pivot_Trend!$B$4:$B$13</c:f>
              <c:numCache>
                <c:formatCode>[&lt;1000000]\₦#,##0.0," K";[&lt;1000000000]\₦#,##0.0,," M";\₦0</c:formatCode>
                <c:ptCount val="10"/>
                <c:pt idx="0">
                  <c:v>627000</c:v>
                </c:pt>
                <c:pt idx="1">
                  <c:v>590000</c:v>
                </c:pt>
                <c:pt idx="2">
                  <c:v>551500</c:v>
                </c:pt>
                <c:pt idx="3">
                  <c:v>620500</c:v>
                </c:pt>
                <c:pt idx="4">
                  <c:v>664500</c:v>
                </c:pt>
                <c:pt idx="5">
                  <c:v>753000</c:v>
                </c:pt>
                <c:pt idx="6">
                  <c:v>978500</c:v>
                </c:pt>
                <c:pt idx="7">
                  <c:v>1042000</c:v>
                </c:pt>
                <c:pt idx="8">
                  <c:v>1132500</c:v>
                </c:pt>
                <c:pt idx="9">
                  <c:v>836000</c:v>
                </c:pt>
              </c:numCache>
            </c:numRef>
          </c:val>
          <c:smooth val="1"/>
          <c:extLst>
            <c:ext xmlns:c16="http://schemas.microsoft.com/office/drawing/2014/chart" uri="{C3380CC4-5D6E-409C-BE32-E72D297353CC}">
              <c16:uniqueId val="{00000000-E320-496D-A918-8BF870E806AC}"/>
            </c:ext>
          </c:extLst>
        </c:ser>
        <c:dLbls>
          <c:showLegendKey val="0"/>
          <c:showVal val="0"/>
          <c:showCatName val="0"/>
          <c:showSerName val="0"/>
          <c:showPercent val="0"/>
          <c:showBubbleSize val="0"/>
        </c:dLbls>
        <c:smooth val="0"/>
        <c:axId val="1253749599"/>
        <c:axId val="1253751039"/>
      </c:lineChart>
      <c:catAx>
        <c:axId val="12537495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1" i="0" u="none" strike="noStrike" kern="1200" baseline="0">
                <a:solidFill>
                  <a:schemeClr val="accent6">
                    <a:lumMod val="60000"/>
                    <a:lumOff val="40000"/>
                  </a:schemeClr>
                </a:solidFill>
                <a:latin typeface="+mn-lt"/>
                <a:ea typeface="+mn-ea"/>
                <a:cs typeface="+mn-cs"/>
              </a:defRPr>
            </a:pPr>
            <a:endParaRPr lang="en-US"/>
          </a:p>
        </c:txPr>
        <c:crossAx val="1253751039"/>
        <c:crosses val="autoZero"/>
        <c:auto val="1"/>
        <c:lblAlgn val="ctr"/>
        <c:lblOffset val="100"/>
        <c:noMultiLvlLbl val="0"/>
      </c:catAx>
      <c:valAx>
        <c:axId val="1253751039"/>
        <c:scaling>
          <c:orientation val="minMax"/>
        </c:scaling>
        <c:delete val="1"/>
        <c:axPos val="l"/>
        <c:majorGridlines>
          <c:spPr>
            <a:ln w="9525" cap="flat" cmpd="sng" algn="ctr">
              <a:solidFill>
                <a:schemeClr val="tx1">
                  <a:lumMod val="15000"/>
                  <a:lumOff val="85000"/>
                </a:schemeClr>
              </a:solidFill>
              <a:round/>
            </a:ln>
            <a:effectLst/>
          </c:spPr>
        </c:majorGridlines>
        <c:numFmt formatCode="[&lt;1000000]\₦#,##0.0,&quot; K&quot;;[&lt;1000000000]\₦#,##0.0,,&quot; M&quot;;\₦0" sourceLinked="1"/>
        <c:majorTickMark val="out"/>
        <c:minorTickMark val="none"/>
        <c:tickLblPos val="nextTo"/>
        <c:crossAx val="12537495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rnd"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noFill/>
            <a:ln>
              <a:noFill/>
            </a:ln>
          </cx:spPr>
        </cx:plotSurface>
        <cx:series layoutId="regionMap" uniqueId="{61A6C77C-7491-4DFF-A312-7540DCA2662E}">
          <cx:tx>
            <cx:txData>
              <cx:f>_xlchart.v5.2</cx:f>
              <cx:v>Total Sales</cx:v>
            </cx:txData>
          </cx:tx>
          <cx:dataLabels>
            <cx:txPr>
              <a:bodyPr spcFirstLastPara="1" vertOverflow="ellipsis" horzOverflow="overflow" wrap="square" lIns="0" tIns="0" rIns="0" bIns="0" anchor="ctr" anchorCtr="1"/>
              <a:lstStyle/>
              <a:p>
                <a:pPr algn="ctr" rtl="0">
                  <a:defRPr sz="1600" b="1" baseline="0"/>
                </a:pPr>
                <a:endParaRPr lang="en-US" sz="1600" b="1" i="0" u="none" strike="noStrike" baseline="0">
                  <a:solidFill>
                    <a:sysClr val="windowText" lastClr="000000">
                      <a:lumMod val="65000"/>
                      <a:lumOff val="35000"/>
                    </a:sysClr>
                  </a:solidFill>
                  <a:latin typeface="Calibri" panose="020F0502020204030204"/>
                </a:endParaRPr>
              </a:p>
            </cx:txPr>
            <cx:visibility seriesName="0" categoryName="1" value="1"/>
            <cx:separator>, </cx:separator>
          </cx:dataLabels>
          <cx:dataId val="0"/>
          <cx:layoutPr>
            <cx:geography cultureLanguage="en-US" cultureRegion="US" attribution="Powered by Bing">
              <cx:geoCache provider="{E9337A44-BEBE-4D9F-B70C-5C5E7DAFC167}">
                <cx:binary>5HxZc9w40u1fcfj5Uo0d4MT0RAzIqtIu77b8wpAlmQQ3EODOX/9lWZJbVe2eL1qjG3EVtx5kS0kU
QRwmcPJkAv+8nv5xXd5e+VdTVdbtP66n319nXdf847ff2uvstrpqDypz7W1rv3cH17b6zX7/bq5v
f7vxV6Op098Iwuy36+zKd7fT63/9E74tvbWn9vqqM7Z+29/6+d1t25dd+x9svzS9urqpTB2btvPm
usO/v/73N3P1+tVt3Zlu/jA3t7+/3rni9avf9r/nT/d8VUK3uv4G2vIDxhkKORXo7kNevyptnd6b
5QHHnCIR8nszfbj1+VUFzbedefW+u+puH/7+qy796NDVzY2/bVt4nh//7rbdeYRd07Xt6247fCmM
5O+vz01667cjYFob3Zkiu32S882PR/9td+j/9c+9P8Bg7P3lETr7I/e/mf4Mzs1VdTU+Iz4hAEBC
KXl4/wEAHuGDyQFVCitFHy54wOEen7v+PBmi3eb7KO1aXxRQP16jh7H61Tv799woPAgpEUiJHXT4
geAYIyXpPXjy4Y536PzoxFOx2Wm8h8yO7UXhsrqxD2P036MiDgSSgktG/hj/R87DD0JJiMSM3U9u
+OHWd/BAX54KzqOme9A8srwoYP5djFevjr7Z6mGM/nt42EHIwGWowH+M/yN45IFimBDA7x499XDr
+7ntoUdPBennIz18wR5Uf7K/KMC09fUz+hKsNFhJTkNwkkcgYXpAkUKI/vSxXZB+9OJhfP+atPya
Iew03gNnx/aigPl3fVV988/IEcQBwYpiKtS9o+yuQuIA6B0GX6L3bsZ2Ibrvz1NB2mu+B9Oe9UUB
pa/m27J9RqDYgRRA5hRnv1yPxAEiSgHZe+Die0Dd9+epQO013wNqz/qigDq9Sm378FL/9+uSOOBE
hIjiB5jCnSmPHnApgTKwB/PeuvSjN08FaafxHkQ7thcFkL7qrzPzfAhhdCAIUUQxWHq2n71FCW09
CYImAtHs3aJzRxnu+vFUbHZb74Gza3xR6EQga7Sv3pnh1j8M13/vRPxACYlDwXcXIwW+hZiUJLwD
DvGHW94h9KgvT4XpF1+xh9UvrnhRgJ2MV8/JH9SBokKqEISGuw+EqY8oHjsQQoGn8Uc0/bFT/ejN
U8HaabwH047tRQEU35bdM/IGDk4jQYVDjyKhRwCJAyyB3gm45O6zxxt+9OapAO003gNox/aiAFp9
s/X8jAsSQBCGIsRS3kOwK9OpAwiQVIjwgxkmxccudNedp0K023oPo13jywKpMN0zYiQP5DZEAif6
w00eeRE/AB9TlNwzih+cYgejbW+eDNHjxvsIPba9LIDqPu0f3uT/njIA797mIUL64CX7uQiGGcyC
+EHq3uPdq21vngzQ48b7AD22vSiALu23/5iY+Xsi91YCIpQSRu89aI914wOOBAf4Hl6JO0r3v3Xi
19rPXas9JO7++KIg2NjqWTFAkPCBdT7c1+HwAYHBB6YGoDyetn7c/6lesdN4D4sd24uC5OTqWYVR
fKBCpmhIdmUCiHSoANENP6hye6nTbS+eisvjtnuwPDa9KFSOqmdUq4ExKx4yDqvJ3Wc3CpUHSAiI
Tfd8BbrwVEQeNd0D5JHlReHxQw94RlWNbdM5AnSZe/aFIEp5RL8E6AUI0kHywb4n3dx156nw7Lbe
Q2jX+KJAOjbps5YbbOsJCCdU0F3utS1DQJSE5C80z7t+PBWd3dZ76OwaXxQ6X6+q78+q1AA86Ef8
Qvadh+EQyDEEoXefPQp235Gn4rPXfA+gPeuLQujk6qavn1GpAWGaKsIpwbv+A7lsDsyZ8If1CLjC
Y5Z214+n4rPbeg+eXeMLQ6drzbPCQw64gHw1eYgwdyMYCVkFJB/pbHtudHL1oz9Ph2mn+Z9w2rG+
LKBuv317RqUG44OtnMkl/2V6hx1gJKFs8UGuDvdh2vbmySA9brwP0WPbiwLoIu3rhxnnOYQaSGIr
qMt5CG1AiXlE5egBowrCIUruqd4eldt25qnwPG67h85j08sCp37OojeIbQgKhQKV5v6zAw4/QFxI
JsOHbM5eWHoBnXkyOI/a7oPzyPSywGmf03OgnpophtjPUp1dzYAdMPAsWKDEPXR7eYIL6MyTwXnU
dh+cR6aXBc78jJqBgjIqKLbmaH8244IRFe4Laxfz0/3kj6b7SPxheVFAvIEdBbdXz5gLCGGaUpRt
neXus8unwwOhiCBQPPqwqt1pzff9eKqP7DXfA2fP+qIAem8L2z2js0DdJ2RiMN6m0+4+e6sMxVB9
g35uS9ibyO6681SYdlvvobRrfFEgfQCx4NszRqOQdsagQIMb3WO060QQrEoqBaXyngvsyaF33Xkq
SLut90DaNf4/DdJfde4ufL8j0zvX/M0dWDCVwQxHgZTdz3RQEfWITMuDLXYSaq/vzXvFHT+2euzv
CNvtz68TbD8b7lz8f32D1V9vvvq5TS2+6q5WP/a3Pdp/9Z+tDxu39preayy/BOkOv6Ob319jCUP+
c9fc9it2tJmfA7XX4vaq7aAxlEdJCTlpColrJUE/eP1qvN1aCBiAy0GmTm4dEKjF61e19V0GjegB
xE8CiulDBGU7UMj4+lVr+62JQRkCiOQQWgFFB9Ch1cPDvbHlnNr650jc//6q7qs31tRd+/trQcCH
m7vrto8GJUGgOkGsDBVcoOBKqaB7zfXVO9izCJfj/yPLlrC8T3Q55KaZNjOa8lJTYlF4tJRoVueN
TGujp8EU2Vnfya6LaVf69ihPJ1VEvhG1iCYi/AfZ16aNm2JMx4vQ8izVATeOGJ32DqnjpsN1HmpG
CCkttCgQjXHbLJl2FQrMuiDS54dyZjmPGpRbccbqdkQRPHJgdWqSUWgl2nlahThTPpoCbGstKGaT
bktbdLpvC3rGeBZ8XQIjuHb9iErNuZzPWBumX4vc0DyiFZmHqBZVg7WtWDJqNham1IVKZXPIgi6r
NCvGaonyhOQmomMe+ngWU+d0lsux053JHF3TQVixEsg0NgpcIeZDVrPySygLcs4yZvGqS8v0wi9d
eJVhxb/YtFM3TUJCH7Uz743OfDsUeu57LL4kBG75OcWu4zpn41SdzaQMq+NxKMpB15YkMu45YuqI
lfVs39MlF128NMtIVoVcwjaSjVTLCg1Zkumc9+qTtS3F77nN+uWM574/DUWiJkAvKJtam7ZfjkuX
uPaibRNUHpG8V51uBClOiKBTp207Tl/qNFH92oUqG1s9THXyyWb5wNZjGGTVYZtknupUuJyunGnd
Nz/XFuvFKXmdiTrJIkRm9mmseHeJTBfwFS6LbtMr17goa2p13SbW+jgfzdhu/FLwMUK4skzXildI
K5X6k5zzYNRY9DNf+1zIOSqYaUuNZjFIDS8/ldGEoVsb3opp0N717WFng+AmGwIz6mk05gQnbfYu
6Ez7HbZ7fexM2hQ6azEiUdmpptFlrsz7frS1gQEq3Los8USjYPE+0GIh9DOxU4F1wVA1azlz/q5n
Q070kPcojUxWLo0eShEGOiFjS3Q3VdOXqQaxMZpcX1+TLjA+UrTDlV4EX966UnDoG8amWhNqVa3L
eliKCGor/G1GquQ6Gav6QlKGvxm05OW6Te006l66eojFkPACfprxq4JKaKdRj4jfJCjpG23mkFrd
T/VyxQLeXAyU96l2zk+LLgaruhj5hIdaZc4uOiMmt8ek87TVBhFropS3dNQoGWekiVnw8qUs0uS6
GjGTm6aypD7hqk8beHWrpn1fp4RlsUxCY/TQkeINzjl5l8xNcYqDpUvizBfoxrmBLOvUiKnS7ZCr
LzlPxdtOdOEXK2VZ66HB0hzZknb2KBvL6sKVFhW6KknCwOVk3kRhp9Jb0s4o1dw7hcA4LiRqnZor
zakd0yiZpvLjmKVZCJNYtvQfc1uml32+xScsc8P03GGFYjGPMOlNpiRYl2Kypc6ocjA94dSdhSqv
PiICd1slMp8/LfNIs4uhar2A91D0xTs/MZ/EFAWiiBO1pIeMZG7cCNit1q1SL6ZyxfPRz1HvLEtj
GpQVOJQTHunasNLoMKnSVhe9DIkOwp42MatxVcXNkGdoDbNz1uvUFtunC01g44DZwcHzDuasDQhl
2mIRFhovqkli5Wki1rMMhssASXtZMUd6PY5BM+jAkXSMu8nQRZe9mnP4mXaTFrIVF2Vbj99a1fmT
ZkqXUqchrztdzM3UxK1g9B28sBNezUlVhjplLBtXZnaijA0PCYobcLhaU7p0Y5SwntbRLFQ+rqRs
muwiyVB25Iu+WPRCZPrOuGro9JQs/bomDuZkxwACNZdBpavUtdVZsojannRVmVfazXnarxisPr0u
Fp5Xa5VUXbgSSVV/NcrBS9GbdKqjzoXyXZsEyaJ5IzIRlx2sdPBaT+bSGGT6yLc1UnEIrvaBMdG1
ekmoPU4qgttVkSqeRylrkk7DbIqQhjWj93p2hCvdBVWXgpOWgYvL1JpW25xUn0ybJXUsO8SxdvBj
jtCEmk/E2DCIfF/AyzcYVGdRWVf8MuuyIo1Km5jYi3zJVg43WaOhVpTdTKFBTsMqn18qnghUH7Gx
5eP4KREVOLQWmcc3Y1fV5/2ymEITvMgj3hbVsEkMKb7nEynP+ST4RxKY5bLsib/OApgLo9lacYPb
Pkj0bBH6NNk8nDVtvf3OUp5tpkXakxIvy1eDSX8WJthZnSWWhrpxubexc6UpIuMsfjd3C/4seJ5m
upK2CPUIrb8kjo5Ws5As7woTLN+LoBuOsYRpIPKGdZuxzJc+ygYZXjBSmVnnUFPJ9eCJyzRymR10
lw34iPcS3pl+LARMjeA0Rif9OFBwlEF8KNIAFVHhEznoMmGdW7M8bfqYTX6s9MALdJaVLrtup6BQ
enINZREvy1m9TemCy6g1EN+ct3CSQxoFqRrnQk95XYUY1vjB0KsiRF0GDZcO9ycjSavpzbJUfGo0
EWOvTtMQD8WpSIMhh5VlWpL6gyhNV8Sjyhm8A4WcksO+CDwadZhWCB/NAS/RWz87hSPJfFnFsAc5
rONC0OZMWafKk7rLhNdyyfG1VOk43uB5Tt2pLZMyiGEGrmBmKsPexPNYJHTbcl6ics7ot7QM8jGi
aK7aBKYilnSx602SxMvUoeSo7ec++yyWLmCrNmjr/EM3D7WNyyRH+WFixlQYLWCWx1HFZxiYsCMz
wL60Q/K1Z6ylKzTWITu0vVXS6iEsB6Zg4ipDV6895wO6dQVMYzqASlm0mUUejEs8hJx1o+aqYuo0
NF0yf+/CCRXnLUwQft3RSvkzU6TWnyWoyMOjLCzwwlcVcItpjBdUo3KdjU0vT9Iip2nEltSmp2Rg
ZfrN+sCHcdZNCGDKedVFhiXQUZL1yXg4JT2jk66mlLKbfur68jgthrl4AycmoCXyQKSDTd26Dh0n
zTy4CM3w7h6WLnBi7dBSlBG8ppZGdBEGf2rRQswmdRJIMLzIfPqohrxWuuZ8NE7nxDl5GY4Yf5mS
YCKbSvXJd9TD/olNXeRihlmimImuEoRyTRZ4meNuqPpurdwgu8O69MV8BGNe9NGMBtNGwueuu8hh
4ilPspz0twEQ6DM1JfKrrGck11jNhVlj37ZkQ9UQzquxNjWJFomTJbJcpDxeFmkUDNpgzxvVBnQ1
9xg1kRU8TU8DeLAykgHFs1ZAsiftG+m+wZxg+jUfWgWvOkaGRSkdB3XRyR7cHKuS2hUD2uGArfUp
hfWduH4F9YXou6OoAO4emhr4d7E4uhI9cUTbOiuSWGA5lcBBhq7cAEFgXjs+gb8lIYdZr4F18yML
TQj/pcx9sAzY9LqfZccjP46sjaoET2LVSJO/a/ycfa+JyIuoHERf6XBi80nXJJXTLVDqLra1ZCls
BW57q1snxlD7sBLqGGcpDLGXKPsc4EY2US/SAkUd9XkV1bwvgKq4AmVvaO/T/qjm1kxAb+fenrCx
dLmes2S20TIGeX0YjraRUVHnC9ND3xf1mZu8yLQtlSMnRWjnEgbPB9lq6OVgotziMYgDBChomYmC
r5hdVBYV8GVljHqXJVHHfNHqvJnrPkrHdpbxmGfjrFEbjtdDsJTAotvM3qaNKcOVS2qXf2vKhs0+
dmkAwcXcmmaJF4Fbu0TOykH1EU074Qtth66fnF64bPCwhrAj5GUseUp4ouuJBslqnmlHosq1Q/hR
wCKarIuCGvQu83PC33LPaNlFzdDAkEaszmn7EahnToEg+KbqlujxSSs7Uem1bWZv0uz+nJufv/7r
7OHwnB+nr/zx9+1JOX/8dtHc1u87f3vbnV01+1dulYOfl/5xjMs2Xv95pste/H935s5D/Px3jDvK
wY549SA4/1AOBAb2zThE9n+tH/z5jJy9pndCAgg9SoJOIDEkT2EfybY48U5IkAcYUkaQ7Yb9C4iQ
kEHS6F5IgC3DDLIWCFJ+UBVPxbYnP4UERSiCiiAFX8iIlPTvCAlQ67UrJGwPoSEwqUpQqrZnAtGt
0PBISKC2yLOwZhGE0fIIVeqDAW1RL9TUK+x8Fqueh2+IDYZomovuUIhKrioM8Rbqca67vuujQLh2
EyaERrxZ/FvjZa3rOcjfLgvrdSNlqitRH+b5YNZ9U8xrN5p1Rbtu45rs3NP6izEgO6SQX4uToAOy
vshrDqN22PVmw6rKxBDyoKMpKcjZ3BXrJemqdyzIyVuL2pN6duwIdTw/a6DwYJ3mMoOArz1EQ7oe
x/IkmHMI/gOp2fYp0JJ+bQp5PJtjKfPsxNvm0IIccVoFeUzpcNO2c/aZl/m6JZXQhSG1VgE/WXiC
ImIqA5FIuqwV8usBD5ewVhzm3m18ixotnE8j2yw3SR6kcVix47lIIXQIaLWqgMt/7ktUXRbZrC4x
SdMNk2G6WWAZB4Jn1pS7Lm7K0ZxlzCxwm2It6EKB2SK/KsMB4gvO3s6K2DWq85sh9J/DtBgP+7B9
GzYgTKgkTWJgioc9TdWKhUsapcs1n4PV0jAYk4LdKFJ8moDk3JpgbiJaZ2QddPNbuhi3KV3JtSBA
5HDNbhCZ8rey4WRFaxnGDc6sdrTlwPX4rIn1fpUMrFoH4zzfoDSVXxXzdt1jN17yJnWx71AbI95h
6JK0Zw6P00kt8KXDrIvUYgtgliHmmSaFOAtMepMb4EhDyxdN+9adT94tWqblTTgzc7P9j0mtXTkJ
cXTde3c0BW1+Gg75ZLSRMCCzm83XBeX1aeME0czV6UZkTRhb6e2bJp1rvRRGdDqbsywu+o59aro0
+9LbcjquGStWA+vbWLAhOGQV4yceJexT6MLlEONkfL+IYnyfLTAR67LJVBq3bgSqKqb8exEu3aqu
1XIYLsacM2OnFZnD9nAoJxAHUoLyk2la3viS+MMslcHbdimm44SlDSwC41TAE/hmjaYERCnQ894M
ghZbUShci3LqM10G+C2sMa0GDQbd2J58S4tAaQyD/G30lmrZEZAQwoIUqzCoyWEJuvPK275Zm3EJ
Vm3WBCfOOnLY13MTaJtmdlWVSXKKRZMe2wG0CEfnC9IkoA9YDxHDnIdn9cDYSSC8ulyUSd/PBgrk
oiHp/aFPhirKBJCrRm1ZbpHAajm9r4fMr7msyUc3BPgkkSEEdjxsPpMZnjxtaKdzTC8pn9yqTovk
UJJcruycDWuFwV/8wKsvyrRXinT1RjrVvclGnh/LbvZrP7QNEOCwiUfRlkdVmSYphBswtEW6sqDD
rrfk7n2iBqSXuuSRNU32BVEzHTOaALNLpfCHUIBkzyoxQ3jRdNO6HsYwptPYr2jTqFMEEcU7D998
3GdjscYByo9AW0hWVPLxrEqRWLECgiKCgvYE09p9qMzWk7N+vqSqJJ+87+yXcajZ2k31YLTrBDBt
0okVzF7zelQY6FgFPziebpSYpk1fkjDGrMVHQUvJl0UE7Wlezv5Y+kpd+xwcVSHcg96Qrbparlk/
gwLbf5nr6jqvpxmC3uITGsITmqfnKcyFPLnO5rdTUegGwjMY/+4DYcMV80pGA0vPhSc677MqIoMX
K07qdz0OxMkiqnM81bdLDyGeHCGOWbpaHVGL2No2gb+mgz35+xTipZIDWCj/AznYPUPtUYrhnlpA
6/tEAz2AXfOYQlkVVMVBddUDPYBqOTh9BzIPcGLFj1wCNHnIMyA4YincFgIxheGIQgzq/z09kAeU
M1jlOZTdw2Z82GD8t+gB3acHCjZUACuAs+jgTAYgHpDwfUwPUGV9M1d0A8J1AXNTNperoXXomOaT
eq+wHA+DZVmOIdxkJ7LLklsfSHVe97h562Ct7yPedf2qrqbhi+XjcGJLvpzf6Zig64P6NUgW+apv
3sM0Maw60RabDOMyW7V+kHHKXfWhbxd2WNQu+Jp4NhTxncRZoj4MjwQou+uinvnh7HBy4VOZHKfd
XF4sOBvRZlID/woHMaJ3PZoCGTtuSvo9WcpqBCmt9Bub4LzRrg2m4x/659LBgj1Uxq6EW2C5AQim
oxbLNkpDkx6VQWchRAflbakCgaIyGMi3EDX+dsap+gJLjvoI4g3IazWytlq1yahiudTFORSopGYF
TENFbWXaU7V0xXE1zn7WNZXjdwYy5ckjvbTGaXo7wkrWaJgGpmuWzkcWTeb7EprpZlls/hb0InY4
s8aueNnTbxDJjPpOQ50mXmVrMiegv9WIp2s2KHzuw6Y5VuncR9ZSfM6Kyp/5WZJDHKb4PXKWTJGp
JUliX4ftClk0Xy6TIhnQwSnjmpesOg9BmvrYDUv+DiG+SiD4c9H20I6joqEu5mlQFVrBUqWlCIpq
PQoHdxd+POKFYxeWKBAIWnhJYslsAWpKx6ZNmQZNv01lNRujyvSTGxsQISjN3s9lO64grmFWQ8Tk
VuFUNZnuhQw+F3UQDEAVh8tetuENdz29JEAkIZCreTtpx1Bw3ciSbFgBK8jSeAyZoLoeIVPjcach
2dN/YMhDBCmKAlZHkEPe3mm6fbl4PXmgy3Epvb8MaalWnoe+1rag8tLJEYShoBwuVZgE7++kXqv6
5WtYegyJBxa+byycuqVHFfatzob6A+QGS8iMJL5/X05NbY7+0H1BUzGnJQOSFNIG9CrIZ7h1k5Lp
U9g24lBwN57eKcF+zkkc5NP4FVIeLhqEISBysfFY1HQ8pT0JVpMdTg08xolrpu7wTh8uSteuc1vD
4+Cm2NCJuBuRj05TMV0BH5Aatrif16oPL8qJAa+YE6FAFU6n9CoIjLuZaPGRVplfdDgu+aTpMphG
B2No+/UU2H7lmqbdTAZRedQBQ4m9q119WEByib2xKSRGtQwy9E7MC7enZvDBoQsTt67mQCTXKmkC
HCUQPp+gqgEJvPLBtJyNY2tKkAR6/x5ECVlcdEPIApDPFvqWzG2aaFQN7VmAp+aD7HqvonxO6Jq1
kHbq2Fh9Whx+07W9g2kr4+d+bMCaUiymOMnCpTya8QgJiH6ZiyQa+qAaIpbP0msyjDQaM96tKzZM
wTGzNpURzUJ3Dtoz6JcVL/AlH52vI9rITr2dfOi+cQkAe8gJmTgFNQMSnmWONhilI+gqFo3rZKi7
DjSpClI2oOCqxGmiupzFHTyMPcUZhBr9tJRWJyNEVEtryxMTpjV+v4zj3MQVr773Nhm+Gdb334MJ
9f7YmKJW5wUTQWy7xCyrPHVVCfoFHZZTjqRPVw1MrxtI4zaQQOpBSln1vu6DjYddQUcUpl/+Iai7
tI8J7WqdJ37hW/GgBb0dAiSYXGUBAooLISOjO6K2qwCkeYYVTnKJ3kzzdlqtkYFB09gl9rpLUHrC
siyPq7wdPk+ZMvgcJqHgvIJsxqmjHKuYpZCmAjEox5CrYM2JVI6fDW2Zr4xnzenUBQ7Cz6TP10k4
yyzCQJKSqKA8CbTh+fQxnxG/pKYaozZJGyBG3LZznEOi5TPwHPx1FGWyhuygBTGdjDW8UqNKIk4l
W3FhIDtQlY0sNALZ7Aq0Ux4nUzF9xZYC0wPvfJ/kSRJVqGveslq6NPaJsnqkyJ8ANadxr9Lp8/83
XGirXPw1F9o9QulPVGjb+J4KYahxJtvDNECPhPKmEMjGnVSiDkBCIRiqJ+BQTyi82G4NeOBCsPcD
CqOBOIFMwuAQtj+kkhDKboG4hCERkOJksGn073AhUEb2pRKo35VwZDIUhsCKQ7enwj7mQqWZmcBk
3Cig/bNOQf/+YnvBPqatLK+YQ+QdUXAUwiFthuxogpKH5RyyV5BwhCKT/quBOJ8fVwWoRZADz8v6
CNIEftQEkvZk0xQe2cMpxUG1Ub4Fq8EsT1Y5ZqQHgbLqowWyxOS8EihT0ZJkyXDcQiJGbtqFFNUq
7QeoJshbUJpzBzIorK/czlHWs+BqYRhFjoRQClGYEJTdbJFoM7IJk0NmOwKOy63VAjINIp6VGpI3
w0DDErLakBrbuDAVkFKlLWS2sIL9apCzDMevvQ9hDl7KsTthtR9gWgFZE2J6SHis2sZN6nAKm/wo
k9MyRsGUjJAJduNSfUB9LaBkI1uc0IMcxRAb0GepTng/bkDhT9AnXEm/mmHFaTdQWjFvxMhEHUFh
RncBup0/KkZYKI+7xnkP2c/if8g7sy25bS1pPxG9OIHDLYccKrPmUb7hKqkkgABIgiTAAU//B1Me
ZPs/XsvdfdPtu+5jl1yqSgJ7R3wRVFeNF40PSjnqHA/1Wu0sq5aw9Ei/vK6+Cr0yxOX0yJuZb5K/
xnjDNRbRNOzitmyrKa2gEbvViXCP3Lmwbpw7AU/600oFXMA4qsUNoDzTFW06DFVWM0bfCevDNhvx
k393bY/zyYWcTnFthiY+VNDDIY44cjdXes074XosS524HrIuGKsP6/fDW1NP0pbrwOOz9uYTXKDJ
FjoBL3TnrQ7M/xUszTuO9bmYgjZQGagWaq9a5cQ3S+zLzw78YHGMVifui8YKip/ROHVXfeg1KrM4
4etc+m6SA/nEtc3jvjbZNBvfgsmx1imCLjVuthAp1lNbUYdn+EJH70JviEL8yn3bZiF88XzpOnwa
ozVK7zHetO9pDaP5kfTrPEKNosp9SZy4e/EFRDdWBdZm1PO6u6C15kqoKP5oIKw32drWEtL1sKqS
L56qyxCUlZ+ruefHduSTyQ1+RrAGaDU94ESHrRcTg2l6u59LP4JVEo31+sajSEPa96sAa3EM0btR
9Vs/jP17j2G2y1W3kTqQnOCLdzVrdwtG7TQTEdCofJGJ86IbFiVQkyK2Zg54B7kX6dLeTUM1Q1Ls
E0ycck70PlxS4BTd5pVPsUxvHDznz/EwVccu0m0xdyw64oLpcpHI6GYK++HB4VP6rXXSqivcUE8f
TcoCkaV4rjAfd5hv6kRQnhPLq2ve9TbX6AEvAM0oHAkrLLdVux9JHdb3chzn6GhqSZvM5Ux7Z6Mx
VWK2DD8qih2g0HahIYwBydqsn5m6Gmn4wZbmZqiD4ESdYC79QMlHf42AdCVgq27iFHZz0Yqm7TJ3
UF1X2C6mtPTxy4YylOj2ZFrwWFnTT/QFh7LnZ6s/4q6v69XJmtqdHkLuh2Yv3MZxbgk2EpvTKqL8
MZgJexXp4G7ztQ8NxK9mlqepM5Ejwe/+FThRRHN/1OnNBHNsPECpHTDxrhIYEIzUjAf2q5oHMuzd
2nW/DRCuHuwctWfHSW2FHSRe/ILRVr1VllOcBDJqT9CYyZT3bI1wnrLZZ7sgXt16H6muxxMhx4Oz
sIPCgxTlTuooqJPUheEtqEkP0MKcr8lggQxRrYdnAiaklKKuXleNB//JwR8AGburXV2k3ETmVI3a
hDD5qRZZ2IBpyeiaXi0O3J6jmRsf0lpDwdex2ET1jS/Wft7NfQPfLYTeLvPaiUHIpXLs+6ytPOpn
o/LsFbOdeWZu2DtluCbzkLGZQbX614wZxP27MeMvtc5/mTS2r/8+aSSQVnDkfXdd0LK7kaK/mjKY
E3zA76FHCPr3Y0wnv0waKJ+ALQRcF30sHv4VKDW/eTIhjB30gHkhgFGC//OfDBpbAuWPbCcKMFH5
Au/HRTEPvpc/zhk4jYxRIRBKBFjmcu2tY8pKdWGUKZAMyeNUVcbeeoECzjhNXqKwaC3jCbKIOU8L
sV++85mtCNzbIBnSKdej45ySbtWqXGLmPoIUYvioBhj5j1gSgq9ysguWkmnwkqsRvmkAYKxaDmlX
LbeBUXLMw1UPXuEMdrpqWAAU0yWmSwvq9tXXkMzBfaL83ssMTtU7qDQ4PpkxeMRmCng162OynCLP
BCB8hIg1xm9YmVkUUn86aNF1u8oPPRBHchheKtPKepvrkwgzSTt9jhs+LPnIhqXLasnbG+l6Kshc
uk4JxCM4xxkwtaoBYVF7AARtf2AM9ynpHG8sSLCqGndfqGYMUp4ecu0Au8hMB4kgixsXRlVMJ5Ml
cy2BClFD91Kt1MkVTNYmg3M2JoWu2/k6Jsr1s8HCjcqTaWxJZjzwF0Wn2AJZKJF34+q5DDDIPH0L
K3f89q95eENM03+zI3xtzdc/RhJ+cFO3r/3+4KYArMMIu0AMvjoI0gTY/K8PLl5oQoBlh3gvw5bE
A3v9y4Ob/OSRBFwdVgB8RQoC7LcnN/opxIOOxCvOAB8P/D97cv2tTuPHR9fHN+RGWxH05uxG/vaN
/7giACsVQ9i4WI4NdMKJ8+uprpXOm2moT4DSgAeGvvwZMG8LvFCbpCsdGjjBLo1HDRjYCcBEWVwM
uafTRp0ZA7WoaTu+LogbtIVsFR2f4pGk727bYPuNU4d7WQD8uzrORiYMaiLghN3cOB0/6JCCw+Mt
ruwrBX6KSog2UBaLZiLWZO0gpHnquOyCb5sFwkrZmbFkyWoOWOMDclp1L8oYo8w+UZAtDzAM2mOc
SvrGZBO7V2sYrirjfTX7R5yelT2HE7xcULGCjGxHhzA9ygQe1n50JgYv0ePUK2kXzhuhHa3TNd7a
E/c59j7L4e1UC2a/vkrcfBLLKH9OdFrHALyMM9/ppuaQll1YV/t+mgiDAyTlgVLXafdQTOZlR5kg
QFnaGpQtNqkxOAZOKCDQNY7ClT7SIOcQpSDu8dhrCrGy8KUmlOT9qHz5NrfuLIs+ZX2+1sAcy0Qq
74FW+JuVEE/dtQBHHvsgRWxcSpUoNxt7HxoHDfpjE21IdaX2Mbzor2sSQCOB/urFGU+ICEqYyOEM
96uv/Ew5rH7Udep8C6ZhmzaYC/kENKiBgtsp/PbD1b2vHdFOZaphAt9O40gO/gbLpRBSjx6ApTs/
rOwuSkQ/FPAEgDMG3uTsREfTcwMZby3AefN6t7Z0/eTohi6FGaV4GGWzvJjRcR8GIIOftV/VH0gh
YMxNWRe+AJeMg4LgI7Oruaxu57jiV0hXrrkcYMJBsok+p/0oz1UrrIa36a1ghdXS89xPBdtjVb3H
3NkdqGE0F4w+k0GIQ+ppCt67kRBSOX1gUOu/eWkfXHuD9zr3+otwe3kg3sBe2rlheacjVc5DMuWc
kO7ojgNcKFd7R96xd4HNNavc1TnYwb9xW9ncpdDuQPetX1IeycftP5uK+Iui3rVQ+MDzNHV3A1zy
s9Owj2ogXyCTPYO0FcchamyR1HY/wOTGXSm79J7M3OM515aepPXXfo+bd/nZjsuwx/LWNOW28N3p
KamOwMfm12n7RqOGY+2pYn1LPMrPgkby0I7JNTBpMmQQa+fcV94hXZOpbOES7EO4ol4Wy3545SCY
KUbKcdr4L5PXEXULnoRLoQYHP0bJnhvFsbD1Hp7o1ApxP4+jg9WtxUFj6ZyzERw1TZktnCagZ9mE
+LJkGW8NG16bitUAyPw178FPmqyLEuctpTOwHZ9cB3O67sZkXvIWV9sLAhVyh2zEjsq1Uv8Fauh/
m+W31VUAEP+7C+xPL0T4ffb87Wu/X2Dw5xAFIGkCecnbyn0w/H2/wPBWG/wjBMW30c9H/gUz6S8X
GEq0QPzgT/KSCLcVXm7z2wVG4B56+MO2mmfESILwn0yeXvyX+wtSFN53FENhw3/lUrT+4/3F5dJA
byd5g0cRe/ZJpyGdCofo/mvUSrqvVjd97iWsK9/Mzp1lCttdwO/bFmu0UtETNKUNkYk4y0MGRhG5
J7ggeMyw2dnhmbYtPoKsH64kXzskkJJ0PMEhRKAmMIjPgAmc2N6axr1hjps8dhNGQwcMrZcpFje3
jibfAG6zzzF3xacWGHAuG+GfrFrjYyAde6igdJQjDqiylnA4+IV+2DgIBU67ZPHkHxTCPmXgdpPK
5hrf3tIm7mfKkHKaa/KZTqP9GuItLDvIgNGTt3R+mW7bYiatu5w1j9zTmlJ6dMkS7OJuGs8gInSh
ScqhXrg9HjGxlEiv0MdwXbsSsEPLskFEI/IQXVp2LQ6BYHTSZ7cJw7eBq67wCaSPJBh05rYp+KWk
YzgOatKOt9RLzW2NLMutUG332MYy/II74lZjUsJfz5UHoYYUSa/RzeHSg9GecNFl8YDcTd+Q8Gzq
kICKUvh/Z8CRch78I2uG5o1GflUCOYRAqReya9JlOM9uH8K1mrs8qkQrshbq1jEhU3xIsOle4awM
XngShSc/WMfnYbbhO2sNgkW9CPYRlv0vC5hiknk8Ylc+GPqit2w9sS5ScxaLzl4HSSWwxzsEvEqC
Ab0Ec9yXbjPHbTGSqt53Qvn7IK7Cq5ZJtl7PbNIn0ZPobYhp/zlagB4BlqGOrbx8ViBvvEmz0nAl
jqqum+OECefenQx9BDXiiCIBtUKzgFl9m/RW7ZhlycFAcsIt15FygdL2XNdg50U34GiEAfKaOnN9
0OvcFRPmroMXd+bW62MfauSiT7GUw4e/OM6VJdR8YFkYWziZ/bKLWkMOA97q8rB6zIG7LPwHt5P6
MMSivxqWFCymA7Q1B4Gc1v+e1T7ASP6ft4M/dsX9frZ632GK7Yt/cRBcpG6R1QQbAcUfhynOt18d
BKzsW+sAuEpI5iT+fT3YMu8467AfxC60LOhwv52uiFKnISwJnL4Ie2Kx+Cen619Yy+1o9bAV4Jgn
WBphI/xxO+DdNAkz82M/tfDlI2PzFIQdkOwZ3uVFE4wu+mC1SYWIQUE1FCKdPmwVIUtUbbKiXfzh
wYUqeONtomPnqejYbkIkuv+qY7WJk1zP6Y1xRzPnILhdxHA8W3gNvUGIAWv5fFE4k7hp7zA6Q/cc
LhooQ+9mUq6bNCovKul6UUxnUEE7/6KjTsh+/lwFzvNwkViHi9q66a7xHECMrSH7ZnWgx5NJY3sM
Nq02hoIIed0dpjZTm5qrNl3XiDnBmH+Rez1Tc2wOmwjstF5Xl/FFHLabTmyWxjZZEqgEsGPiHJKu
UQ/1RVw2k0d38aY4C1Cq8AumYBl3i16S8HHlbfc+r3N7msBs+7tg06/9pXPbDOMlZG1sOtTseLpA
7k4JketpCBcwY8YZ3c9VvL7ErZ2yNGynlyHeAlj1RTfvZYDUKTOBLNaLsg5bASq7M0BwrxA6u8So
kr6wkzLi6NmqJtdqCsI7Eq5tmXR0yVOu5HMTzuquSudGg9Hk3luDeMAuWtweDm8yIm249mNGOn++
4t3gf4m6Onx13EbjAloajoOM1klY0IEt72ivjQ5LR2eI7s2U3ppQDHdIKK9Hn6TNQxzZ7ralTvIl
moPwWYUxqJfRhCcTB6YpbE3MC62RYsh6p2rObszCJ0J6QrPBh8kUjbN/1aRz9BiDKvWyuZIchKhY
2y9gZaYrjAVdvBsZnrtyMWpAqpPpDlJLMIR7JGlblemGBMdoZO5TyHtceMbzHlVPJ5AU36M2gzSV
/0DZoNezG470NFPGukJPrXhBOnnwchnruMZ5ueCbB5+8idamdR5aYdi3DuYwL8DezgUYwPoaCnZT
ILWUfhVL3J51Jf13g59dgCgSFsTCF4GXMQzFMJ6McL+oJeY3AHsML5GmQ/6zlQsB1Ux7kDHputps
tMNSukpWZez3kdiLVnav+MziRue+PRvkOs9jEpElr+TSFgPCaHeG9dJCR2o4ZqLA0k+rcbrnurLj
C86hjakeYAutdBQH6pnp1PQNw4eywkYL5dGk+UADJCtHVXGMFt36ts5V8tzjZWHP+JyG4X7hiA9m
jdb+c1VFLC448l1gdzpV35uWkh0P6/kG8R3yQVKR7gkd4Zi3iXiNZo8/M1+CiDa1Ht/TmCMyXPPI
3K64Yg86Dpt7x5uiXYwn5RYxBjiO2JKvhg5YyIQ86SFx1uZuAmF8i/glv53RCnYUQKCBhozq2+JX
biEQ+coJ0I5PMQ+nVwNPYjd4wEmQFp2re4O88FoI3KzLydTrz1bD92MBJgYwWbWbt8I1IHsY985L
PfE+C2GtvCquyZeWK7szq5SlbfvlDK1/Bi5iGvHssJ5XGafInUAApORjWUK/jEKO+B1g3hbEqu94
O8Lc6F5S7pisws8+xxiG9ImqkvAeZoDQO29O1FdoJ9E37I/BuxUrsh8weO7hxvo3QU0bhDOx8tV5
jGzznbf5YoiEd/OVNaOXu6xWe8SRlxtEFBue1SoUe/ytFMxUMlXXybgmFIkPZ9jjwR7hJxqrp2zm
81IyMzNRMMRBDk7VpycSAZbLogaDhJ6QIxpJTfBzs1hu74KLASM3LwaTJmwZCA7uHbxWHzEmldAX
fbFw2s3N8S7GznoxeZK2wbiJoB+eo1aNwVDEmyfkXewhSMry0angGcFrGe5kDwtquVhLS2CQT0ov
llO3uU9686HsxZLSF3tqSeMlOsaba8U2/8pl8GX/PQNO+LcDzp/e0vaXCWf76u8TzuXdp36A9QxB
PYIh4jcBlPwUbAsJVlWgZCnkzh+dC7gIqPBHjiSGQrqBEL9bF/if/su9FCgP/qMAGmCSQkMQ+I0Q
IRUkS/CN/7hA/tZL4eI6S86xlT7ia04Drn4dxxYQdJpg7Zp8r64P1qz6KUB+zclQWRFaeM+Erzva
NuEnJKLmV8Qz1behklMuR8fsEyQgSe6htuC68VZP7DUSC35W11GMePTUKLxhGm4K8L7J2DLkU7PH
lirIg8I9iFoLbCZuyePYPIdTr29sDdkDQD2IsLd5SQAjeK6xQ2kD135p06g799KDzew5SXOI+wVZ
uzrA0ZMvImBNEayrwmigwvQdp3iCBXatwcRXcTN3pdUd3eE/0j87BoUMaIIY3lLHQYxTNa2/oJFi
BbSGIDVwpmqByQ7ifB6vIHyBkJdJyt7nvkXionZ7+MedEhzJDA33pHb59CbHdPjS6iBdioV1/qOo
E0SnjRhdUPhBMGHJAMA5gS7Ds4zEbJp+Y2JobmIeBV99ttwyCf8HdnqDKoSUan/OqgkwSVaJIHhh
K9n4AN+mNg9HEeXGgKV9scpvXzecc866cMEZQSIkB59aRpIdohpJ8IYoTeMX3sQmvyR0rkscLy7o
E8R2v+BXUmO8DJdaH6bQ+SToMBxWecZiNnvjVJ21WFjxf98twecTT+7fGp3YQP/8ioFLJ8yvX/nL
KnQpsAEXhep1FAtcKtW+r0IAy8mGS6V4Yw46pPxtffpFaMIqhJe7QUzCyypRAxb8UGCDVegCZ+H0
CAj+afRPViHi4W/0R6PEi7BOgXb28c+iNPwTS+XhIg3SITpqdHu0udyAStOiOiND6n+4waXKYgQd
a+tczS54FCO9IO9ikQyIo2MwzxEjllUOpR8bQnqhOcPExkvhxBPcFFoD+Fyg2+aOCu7MBoNCcJlR
kQAENLBqTHLgOepJdHK89i4sKdNOcK9qcIqZtQg63y4yAnh6YVDlhUe1FzY13TDV+EKsygu9uho5
7LDLOYe6V3F3TjbQdUbVTALGBvjVndOvQ3tganYLGXASH2uD1pR5w2bHCHmQsuuZghdaRdEr+ExH
5dSj4sFNBCAwk1rotk54u1yQ3GhMfVqSsNZ77Q/9DekSr4A+mA2wLUs/7PecJfzkpn1R1w46Zsao
ygS3/oOwE9IfNrx1JYBxLMl0t/UDHOtZBFmgbTHy2OS8piIPPWCqukoL04IC7TRKThyYzCxNojMK
LeS5V85z6Mp9Q0ABt8S7HnFE7EBxH7F/gllzReH7yMl2ycoOCRmRFGpQUAAihRxbjKolUGuklzVm
oqk9psnynhjnamQzz3q1Ijk2v3BYfScfR4bb9Ah9ifYWEaWTh3gYrpNpzzp5nJxkKMbRNkUzhjiO
0UNQi3p5Axy13tZsmI5NnCDKhyB2VVSBJD9fqi28WooPLIb1597Tzk5PK8lnY6eTGQb6wB3C7hNJ
agreLvGdE0X4ez0jwouEIgPePmRtXINGiZslU63TNPmPZRcA54W3q9poOEq/1fFfyy7Qm9HuXdY2
PzsutMh0c8q33QR2mCZ7oucRQyNbw4PDa/3m1kI8+1zIE3fUCGBlVvqMv5W8mxbhIGwMM0VlTbwC
y10R4ditJgWvn7gUHSyL0HigRMSb6wEpJWx5uOCwxgGkRNoSNUhZb8G+Zn0StcVaecNbJBHiTLBZ
HiLZOl+NGcwDbH6TV7RWZ/DTS4CLwUyHwe3GHMaZKSTT+EnM7hjkZhzxGdSdf2pnr33Qkpuzq5ql
QE8HL5CHEIfKp/KxcrisC4Dlzo1ganwK2k4WpK+XPCE0AY/TDMEvxRvEHR7tYustPTfe4UOEICbI
deTUMfL6ICOycZzi0sXyUsolYjuXBOPXwGBzI3JJ33gjww8ehma41oMvYrbzxhA3I3J5iPQ/uXOE
ey9bnDU6RWnS73SN3dsGZYhY2T5ZFnG1IjGFuiyRvlXhxPJAyjhHITzP0wZVKkj1BhlDt8I7ovG7
oHuqGx2eem+VOyn84ZY23bqDNfYZN+RjPesrxLn2PtUlr03R+COiMANcWgjRS1PfOCJuD80wktLS
eMhtzfobLO3muqolbB2pH/Gbtw8QMQRwTjkgxI5sn5mG+GvLxvRKhZQfSLU+hVvq3mMAzJHuNR8R
Ug93gpn+CjZ0OSftTTub8GniM/vm0mn9Oi8yLiBT0xw2ID3ZldH7sUP+ntexD6PPWd9R2gnxckXz
1KGfNS+BYagC6QlUGvRtcMTxiUxMC1suwaGGhG4Lwwmjj/9kl4jkCAWpfVJ5bLcOYXT26oQ808Wq
axRwpeVqZ/KK9azfkfBpTq8aQ++Yh/qIWvVxmRp550hf38YAO/CHMIapIUWjyIy1X5CguY/kRG7g
zDr3oOsQ58WvBqzoVB2iTtBb4MQb6iWx7WGjQ1TSxPR1SJPhMFlnKtDXEN5DoZl3l86TzoZ2RRuU
Zx/55IkSY5jcB1PqQr333eq5VsrLh2VNdz0+ZvsQQObOWCqOQUOdK39Ylqug1SL3BC0oFLpUx6xk
c9Tg0AvD3GMCgYJER7ceNL2908LmhXCcMaQBDQdPNrP6MAq+Rwbhlkv6BNv22qmm6WSN35wTUMT7
2gPVphd4InSBya7cVOWVSHgZh9pAFXMRfkGVT4keFzzojkX/TQyO9IBEKs8TNq2IQSExaSh/gbed
5jEf4+d4VVchwUOctmuhnWqAUki3jyLxKWhBG6kdDMdG4M51sOe2E49PzTBEFTAl5FZv6hnMbtER
Wg3ZOK+TU+Aj5iEUsTRHAAgiPUIgJPWL14d2bypokfkEIagkIH9h5xORYwUez6AGk6M7rfY8kWXu
npbYqZuSpYOMMqowqiL6uGLGd1GMoB8pC7uPxqv0fYROqAejqUYYQbt9k8/wrjnkU80hoho1zQcL
rgLxXm6C94QnyTV4PJmFmsRfUctFWW45noUb9OXhbklFxHJAj4Az0yEYj0allZuRXrUehhOG+xHq
fwVBf4RdEgYMCF/TMEsy5QmCjgzeBJ8mWHzDTo5rI3Z+h8/BAZEJ+t7FC4gmp0498Acm7bBF1xot
VUlyWgC6HxD5S+oMoVUU6nj1eOcN9sMR4rFn0YTI9hqyz+7UEQ0FC60ce3yekgcJKOIA6LvDhVpb
VaxLDDWuCt1W7NJIYwVruItYhaKyQKdFWMxAcp+qZWzIqdNx914BvUBbIIw45LCUvFkIfDFLJPK1
ftAiaQNlwmRQ19AYJQGW+HO4HlyqnVfw/OIAEYW9zGE8vvq2BkTbgnZh3CIEbQGQaejDL+4KJpQr
F2mXeI70vm5QF0LWMfjgGgjz2hFcw/h3nl0hzBUSUvhwktB+TulycFCTtlOd1vbfYJlsKwKqxP/O
MPn/vAn5d03ht6//viggJYE4A2ooENH0t8XgV8sELzcJk82nDgEywZv+AYWEIZ0iWYlNAZZKACXi
RxYSJejbG2s3jBLWSZT8k0UBkbo/LgrBVnRJ8Lq17U+EuLEBXz8KCu6MWrywEsXSIuNf8B7Op+nI
AoTnv1UkiVo/yN7dENvlf6BIEq2ZqKqJ6uF/rEwSSZIetUTaIMPxnyolg8EgV0nruAae5c3zXQpu
khZkHGElIFwbw+yFaszuwqaHFl/F4BJuleWD2iNSGq1Q5zlK5gRf2EsN9bYvkADAgE3mxMxlGrQp
uUpn12/2oEdsk9sVJaD5MgKthXHv2ALDHP57qI8aWR71KFPIYyJ0mFvKMNsnIE0/B75JjhMK1WgW
xt5SFVpaHOhoza0+kPvT6EpLA+c8zMBV0O0zcL7v8Uc8eMSO9xxNQioTjjAe7jvho8JpbG1WUQBm
axdWH3MfxrJ0K4mKEDXRoMvrWAYG1x1KP/aJUCiD49Eckf3UIOcIz0mOUEZV9wmlgai1RNBi6kuq
HLBRNJ2hVfkBt/1uZvCN4S0vA81QAYsyOgJ04zlKGlT46cC4CG0gqHIdr+iBzJS14PM7H3tdRhgE
oGJq/OipD2w/7PxeMqeQYduzHPtEBYCISX7tx5XmB3iA9ZTVF1C2v0CzBp1dd7HygdKCUGjS3F4w
W7+b7ZSjLmq6Ci4gLuYcQLmk03zA+rABu+4F3iUpfuWlvpC9HKysOcq14wmm4UZhdRmRxoMYhUaH
THPunyaXcrQm/dDVCh+nf/u/r8P8Yi1vusR/9qX/8KLs3w/YH772V9E2jnDGAg7FAxJ6WK5/PWPD
nyC14OXFyA5FOH9RIvGbFoPX5sItxvGLstHt+AOa+qtoi5d9ePhXXTTQ4bzG+xD/kS+Nt/X9+YyF
KR1ChAFahCIwnNp/PGMDNBOOYV/n6eg1N8EmF/rQY6Hz+TO8Cax+SLDqi7oo7Oyja3ETHQfrVUsh
NikSKYXpjVz0SXnRKlGmN310LYGCqfqxfp8uuqbC6Dle8YveGYzSQd5ik0G1iKGIVhd11Hr6zYoE
iqmto/65DQ0FGntRVPsI6iomASitKJOs3uvIZ15Zt5U+U9+J47xSngtxFr4dwuI8EOduChH/YQNV
7R5tdNW1g1ZQwEkIgjMcY75NSm8VCFyvJEhMhkAAms4sfrvIsk8OVAonca9Ax0Z+0TQTHrTRYLPA
cYNAUT5PmOD2FbFi2Gvh9PcE8AFKJ8c29nc+5Qt+TABD3vy5g4jioRPP261+t1VktmaEnoOGYS/3
Ha2+0jWehhwH1IwfebV6JawzF5UgpF3A5/T1J9SCpODfke9Ns6htzMFFrd4ChxGlu9irBRq++giV
dCWK4gJbJhSnOVw0NJyW0khYXSNZ33qCXMERyBQycqCKUfKEb6lle9WtjiqcVaP8MIxtBhZLfcNl
UCMXNG8xYIBXfXCjKaQm1EYylY+8dY/xJnS/4buZH0bh2y8Qk4PTgvCxzScztp/o6HvXyLiNNrd6
2JLSDpueerTp8GyiafSoKLIJCB2p+JPLUn2kiFKe2IKNfA8XIf7glfu5w8nelUMUzEUgIk8VPYoX
e1xEQYy7xtH957ZOJQDkiJNrGYcCBcko7/55pdUan5AnCmu0vETeN0HMGKDFxKbtIRrjrSMuTXGr
iFZVjzKxPpDi2kl0PjCGf4iuF4iBUQx7PxVhd1RaRR06n2wqd73HhyfYA+jM6sNUYhNwU6SXJu1H
x27teV/aPu2dXLgaTX/0Iqanm66eXiT25CK3exfpnV5keA+CfLQp8/+eUxen4H8+dcvPXbv+6UVg
P4YF8MXfj93kpxCv5YEPhXfCxnEMrfvXYxfv60GlCQ5kxHkww24gzm+oJbAhaIv4H7fiE7w35odT
F67WNjwD3ETEICX/qFoFHtsfT11M3LDeUBeLAQcSuPdnqyyK9Yq+zqFQtfNtNsGcDxjfXpiPIuEx
pOyFbX1YbRKwM47tL05XP0dDdE19SETLfB20UEbQWoUuSfm6Bj2KsVsUCBbq/5F3Zst1G9uW/ZX7
A3AgkWgSr9h9w74RyRcEKUro+x5fXwPb1jmyq+QKP97wo0OmRFFk5sq55hyzTfOHHnPQXiva8SbL
nV0dshHSwtbd+qEiDwi4faVJ9eYbercObfEFwY9IQFCO+BfUFWn4bMMrNjy7uEJwcEL0jtFzPTML
vpgonuu+tM39LNN+nYGURIwLw60lCjwLaG54pVtE+XQSXxeL9aRX+nYa42Jl+SGY3SSZr5lrumsT
FAgSFzssI69us0bvrFUMzHnrTGDJBbrVE56aAC1bG3aaLniETnwmPeyJPcosZnbHrBgZ02E1N9O7
L2S8ZnU1rjl2o21PEugBRrhaFVpi7yqSRyfX8rPDYJbdwXfkvAO40mzJO1hnvyvhpPVl/MHGnfHR
SgGi6qNrvVVZMa6bVtPWSR1YD07iOiBShvwqcq3+TpdkhwoLhMvMLuy+hHwPj6oQu8LS161pvFSR
ixGx2jdz/tk6pbk1suQ2UxpIaOhgSKlB5WlRWmMZbXRPpIpEFIzMUH4kdTmuZmk2XAMmv1kqtb2s
iSIPdiRXVgzCCUMuXNRc15jA7QRTgn4GBilWBf6rKxTQDxUWH2Gy3IY4Pn0dMWquRosPBnyA0F+v
yhlUBEiaG4gp2MOHZFxP+gDfsmpCzyoNpCZ8tp5fO0dymNPKz6dsVbcRBJVei7d2qb7ZiXiO0+xh
nsk8hGwBtAHkL3bSwFORQsvXwjNGfeVJW/vKrurQtcM1jrN+w8/HGwS9l9IY3FM0TIEXY/T0/Lb4
OmM1WzV21e2tuiyfxza4cbC2rXwpPwYzfLVa+QpT7z7DAOgRY9Xg/ZndXtoJRHhDhKvKGV6sadxC
mUPGKRBg2mzCFGWA83ca/RBH5L2DYUkP22rbWu3HzC29pSgXk0uf6if2rvqp7ProsyBZsZWD8Pdz
P4htb5jlWsaltg1lXaDCdtFKRxXdznanVlmWxXd9VLn3g5M12yrlV6N8Gl853w2PAJJYsQVHg+z9
sDvCF/SnteoNda5hE24hdxPiINo/xOTFw3kjl4CHsUQ9wMZXZFmIf6TRYFzPAGzcVSlD5372LUYf
jAKEvlt5j3mMYE8K8vDU8cOIuTAjNbIKMXU9mm5rAkzHVIkXu/S/xN3gBgz/pjjUYXbRxtgEa5LH
BJGp+olNl31ueDZmXmwtO3ZYNuNVLWWwaWKrO5sk+/f5GEfHrrLjO405FeGq8LUDZ7HrZaGYb0HG
iusps+ytW04D/wyRDVMJ1uIJ/U5fF6LvP6qFitfiDiyMOj45ko3NSiz0vCCKxo1aiHrZwtZD82s3
Fri9+gLeSy4QvuAC5JsWNh9nxPDAw27eVwu5Ty4MP2uh+XUm/gO81smmXVh/xUL9ixf+3xRrX/81
ty7Zgb+5dU9F8Os7d/nQ3+9cRCPiCxaXo8mzRkibq/X3tTP+FEMAQlUAGjCwXFJ4f1y64D3oWFF4
LRUkCttcog9/RGt5BfFWxbqy6D8OyNN/dunKZa/8U2/KInPx1OFTWPqwdddZnkI/4U4rfx588txQ
LtrOeh66wdjFJbueLLC1dlM4sd+zopzmq9Rtq4GXQTWdDMLja30xtKe9Mx6YKTjK2L5xYsl4uMEN
GByyerTXRi+Kj8r0rV2JLNsQoOdP0hoVdx7U4gLAI3l8SN55XN9ak73QxcpiJ0qtydaRZsZXAIdZ
3Fis4qZ1P4kZFYbsqeMJAmYfBRwzTPqOeqznDE0Y3OauGZwBkQbQ/aGuSKI1MXEyrwR2c1IsRIA1
ZoWY1maMUXTTRELcR6q2CLZZZpigPAxQEklXmM9t5+uLdVIl11oz98FD4YrAvHYuUbrwEqvTfo/Y
BSoodtI20qOeuBSEuCERQDz2ZRC/68TWipUfCo1ygGREitiBSskJb0StzIEvLS+2TI8+NEtBbahn
gycTj5FZWwm8vp/LkukGNV63VwDM4EoGhcQ3n3U1sHf0v/5alrOpbvBbGkcWB/YuIzl3KxGmwIsn
XKu+VQPAzqf+NpFFdKL4RXLuzeO1NqXdrsgcaz/E+nBQCM6fIELjPQdEfycA3nLl1Ll+1cZ9uEmU
vg+hLO0SCG/adtJCv947qdCv0r5wxErzk+lexb2KcRCmbbmqhV1cpXahyZdEaf5rO05BvXUiCmC2
lc/K3cshTkyYewkq75wQhjqK4YiX04CqumINOWcnSNLaBx7e9nWO8xj9v0yTq2nmJT5GRlYfFUvG
mUeWk8aehDdXn7S50G8r/PDhne5M08knQJqvEjsJqGWgVWHykrRN+wNJLp6YhpTj18H13U1qNzpC
UFCKOxHxolm5tMsoXiuZ852fx/ShdPPs1I6pxbdu3mj5Zqz0HIZYVtrbjpSjdQAayCLV1Hr1HpLe
eI2Rmyj4gM70WDemtqL2xrmLhEyusnHsrmSmzye/bvudQKAor+p0Itkqq7TfJK2Mvjcy6T/bwCpB
oxYFEUm0MfQ6Md/zHSxP7sAVwrJa7W2hwYwtZY3ZsDPdFZUSxbaqSHOEMHjWXWqhi+GCuomaEk8G
34UbfcjSc2bq1GOMIvo2Uk7iiQL1hUVN5z/ohXzrK6k128FolL82SK2SLtfn6CmfjeEjLxYtdjLG
nlFKc+16ZQ1s5NHxqnGVkNs9wrvApxFGvn3047I78VIv3TugZSXE8Nbg33e28muUxI02dOOurxxu
ysxy3R0U/OC6YnJBAFBggXBDjdpbnMRZctP1IzbetErcW9/kZ2px/JovKnVCd+e70j/SPA1kHEdK
vaL4Jm4f4li4D8GS9cNCW73MegN8lE9rbM/KnP1tMUTim8MO+9/D8TT+VuF7uPQr/s9D+95+44q7
tJf99NZcPviHxMdbkkAf9cl0KOtLkPyPe49aa5O1hq5Lm0PW4FX5n8fm3/SFLSYtdD8af2khM0zQ
m/9kjWIsn9jP9x6/EQgUV+eSVdy+9oLC+PneczSrdNlSAgfWB8D2Q5Lvo2A8l7k/fink7J+Q24r3
fAi1r7gU8zN/2+ljEDpJElsAWSAe4jkDEeq1nyaCn3BAEehg1d4OM+u7Pfs6Z4FViRsOSYj2Tusf
bdqKTkHRT4eBSCtnaE8MuZOEzGNpvFUFBReG31/DHk5Xmip6f511izzn2IryqGr67Gy9gacN1uge
eFOgjkHhh+w3qsa/rY2CjFeoA+ocRJianjOOjM2OPqrTkEHjJ0tGGm5TUsEVrFq9VMXW1QIKBPzK
ro89D28TPhA0Xuxeo1BnwIZ+/irtnMOQB3KlQbLSky8d0a9+F7WzvZQFZPotPVH+uCqynA4bvRaR
tuanvn1uCgGND4t73KydDloyLtSkf1SQ+Sg3EKnzUMd8d3kBW+mnlAxfuFVN6nzSf9O6Xp43ottq
xmzcTVVATjgJmJ82+OfGcJtr41SD7lHTYyv94jE2qI841X7nsDE1spzXeewP0XVgJg7mV7ZB3+yu
aR9N1W81zj+4Fml8n2oRvKiJECXvd2fWH/vJp6dKm6FxF2XbPqIB5IRLyMVvimQYbyt6e44wsBaL
V+bKCZq0SSdHYs7ncWjcq14DcTibFYlpLWluCgIv7SY0XDyuiRZ232wQUZLikDr/3ndjcx+6mutS
/xb5ye7/V1BiYrCDse5g30f+E1U8Xs9LxPPcZI2It2M0huVZGqzZYQYk5bz5ubGkknE983cg0+X5
UTaNHu0kbrDOBXYSrxXpLIJVGEIdOf3RZAK0290sEKdpHY6j3xzIAVrNAQsGDIByUfCelD6QDun7
6tEqgkoccsaYLw3TRfEeIXnbK7cPRbXGRWzdm0YjsNlWfeYZ5Fqu+kpfxFY92Q9uY0Eh1xKudN51
0vJGSGMJ8ZtRN85x1oz7MWtzMvG2c5jS2tlhygt3Q9pWLw2+Ffjf+B5ftMlPXpLALW+GoU2eXdLh
9jZPNaNbDdSZ8GZrwxuLcDsdTBP6OzEzapXWMTv+wkuIjAmSOjX6QxXiWyFtsm79cCR5ZDR0mzDP
2JuRqZUFYTCFdAMGrbV2F0/aiCkIm0DYmA9QwcRRQo74ZAk530TEiAxiA8X4teR7+bP2sX8tCjOb
JqDgfrS1ZyNkjUCHU0AsI5nWFl/dlQNRzEB1qHTet05mH7K+s4492QpmicI2d4npRy9RgVvr6MoO
K3hv6c39BJNT8yTpBhdvQ6hBKUgLTnBUxT+aKm9/bl38+qt+i/9tSfUfq6e/fcpt/loF/9ONtmik
P240nPyIk6yuHHhHwFV+3Gisn7hOsCkLm3+jPxmIEVaXTDse5mWRpGzxX2MASXVcBNw/NrO9ZcBd
+Sc3mimWJMGfX3IWlCT8fOTpFcyVvyyt2qn0czA7UCmM7Ehcbr6qLTosedMQydILu3hCBclO1fCV
pRFuYAcPSYV1c5sRe1y3lZFcuelU9Z6PS33CBBmVEJObfl80c/tKOL0nJN5YT53by57Ri4oCL+oH
Omzcy34ldjNB41uizd6gGdOuvmxgeEENsN6iELcxz7DuxFmFSOIYzUMXGAUlFIBODlChSRAoUoyw
ULppjycney2kNe/YIgh49Eqz1zX+Gnz4SVJCK5ucG0l4/lRlldpk9YSlxy9J5sthWMehRaCtiPUH
XxRIHnXRkCeYg7Mt2lInKZjSmVRhDXTAV23ZAJPFbwtx8NWAAEy+Iv5SBqTIzM4E5agt3YelS4C/
XKZFd5kbo8sIKWn2mNdwt6sX2io55pdpM7QtfInVVAQNBlDOUYsR+giSI3ZBgTjmi/b76LpMsf1l
oO1BRGOvXuZcgveMvPVl/C2wH17ny0w8XMZjoJXjLgydjbPMzhYKMH/AMlF3l+G607T2lIJ9PDKe
qyWvkDTHeVxkU3uZzo3LoD5fhvZ4kDyoYwSxD7FM9eQTGfADp3H8dYwnvNk2M2FcPRbdge2tfhLu
UmcWQd63Z7ZeojCbDeouHDwNdpWkveA5RBre9FYRM3qXxlbn99lZzWRc+y1QyMjn24J3zz7XUX6x
deLWwqjcFKW9izre5WOaq5PZ+Om1bZkp2nrpaKzqxXzDgvXJqeKzNVfAiXPTPpFyoSuozcRGj3wQ
Iyhi3cqMxp2fZJR9CfeWAgWiIb0yrvOyC/dFFQU3bA5M0JHhswGLd8eRfVdVXEGNj4vMsuaQnWb+
hpkO5ThMMC4M7d4v9PI9DQYsFkYHoJAm0I9QwcTSY+yWU3ucuocubuyHqPTxIRA97pm91vw9k41d
uRSLpn4Wem1vivtKc+Vj183yHk5Wv0MPsu9zkmq3soRPg/DMrjXR0/CcQvJ5NkEjJ3C9e953Y2td
jSKh/mGKv/mdL9u14USPtdsYt+OsmyumAonmT8ZwHIAV1w7VRipddIIGFI2y4UWaQ29dGW4l1ljg
KqIq2ZURWClGwqJk9Wvqmy4NjVtjSKa91LFFANsLshLccm+lHlFaSbEq+w1Ql9E3LXPRLliCPpjt
ZLxQ0+h8nX3TfYSaM9FBN5lASae3IGsPnVlulF3qheeYzXiN4TCF+tlX6lWr1bALGr4t+gwrBwLM
JgibfSSaN7zTmIjHD6doNvCcgrXeBuKtAby/5WdtzRb5qYUB4wz+p3T7FS7CeWP54Dg81cVqq1Nx
up46yUysLMbn4qVzIocvUJttUjK7nrTrZtXXM0kIkX8X9NdssBYXqzDWFmWgPzLinnqKs84479W6
M2HrgM6gm7c4jlJXG2r9bpWyj2YUfiszy1i1Q2B5aQPJMRua5Jaa2RzsRHvdJDjqQ/bR+zpSJ4SV
fAM082Fq/UNJgazepM/p1KwiNzthriY569IlowtGcVXUr1ZIn2YQKOkVJUnNZNro8bzV0+mObYX0
qnrainlaDXqeM7+p70mqnPuFWkqG0Tr6In0fpooqHZM99dzC9dDsZuXqo4BZ6W6VVI9O/uSM7UPC
GLZyDUq5mlI9dG321qXD1jKrGZD6fAs0Yjta0ZHetnWXBE9knal88flRp6rNwifduzgerWiXEsb4
YmSWBymCUd7x+V1hfYLDpo41KU0y+sv8GvTOm2bDkhiH8K1X9Wh5TTEW7MjUmJxCZwjoJ5naDVQj
bUdMw99HVmVeBUnKoBqrFBqrMrcs3qJ3QH4tsKpcRxmr040/uOa2tHyiJj5dhbEWqmvY9LnHSo2a
pEDMm9EyWOSXVrilQDSB3Jt2VwB+rXOFkLUZFZ2TVjw/ZD6k76zXV9lUt9d+imgozXpTze7eyDQK
c2kZXvN4CTc1oJadaCSlZFl/zOuJFVI+TLvKKNQagce4lxqymt9aBtUFXeKCUk/i9VwN+vsUTcN9
0Cmr8QYcYNqqmfpZsmDrdeoxQX15Tu27q+LiOAhav3vVfB4NQWNrb1HqQro1VX4Tm92aZ8S86nAs
HLEURLtJE/Xu3zP+MXX9zf48idpfS/kmH/v7AMjAxoTHK4n5j6W4uYj8v0v5JiK/ROJYxj/KS4Bq
/EfSgLUn0CvYbUsHC6i1EPD+kPKd3wyylEu2TFrLggDT6I8Ktz8N48G34o///rkCXSybhL8MgFij
2CSAUyKpZi1WrZ8ljYadeWaSluf0RvhM6PPmTKEpWCA1b3yMWJxJ5OOedH7QgWk6drelPbw5hIE+
vERtJq9lnoo7gqrGhwr6b0Os8c72jUn30tYvv09GpbaFiCuKnrguaWR64kCpges35pVb+RpFzuLb
ZOh3PYrmmSdr9253ltj0RTW9EH2lvbZ11VvS+SMhykXaDPuSJpNw1nYuvXznwEn0jW5PxHbAxYTr
wRj6nQoZYXxY1C+5yRDqtSjQJMbdDGRCxj7RWIRUc/A3c0j5qFMON3UCxRZQQXJlq/4Kmtln34hP
OGzA8dvR3FNGXh30kvcbTkUOSHtQm1Lqw4rkVYXgWKXPcVLK68mOtPPsIsx4SY4kX0fJUgWgUaYx
2RqUjv4TatO4bVvWiVySpX3VOi2cpN6X7NSphDyC2yuBHFfvTRTRc8R+46muz7Eb3vtZZx58q2he
bcTnt3xUzrVZZmQN8DmuUq1x7lSotU9ZZxNoavPhcTRwinPBJMnVWGq8XytaXb2hQbzVDD0/NWUb
Hfqo7l9FyxlP0N/cJGhGzBFmVgMi1NorEZS1RS1AKza5SHWqZbB7ETGElZcaR0nEZad35Rv/k0sE
o+64fox8U7RTdl00dfPq16A/q46W4cZutOPIVTEWqkk8dkhpti01gkA9Uhm7SY1/7aA0gDsI56pI
C5BEYej2yMJ9LJ/iBRA3wEOHhoUZgeQV6luYKnGXhnioYYLHYFzrUKzTMYmfk5C2sHwuZmgXqmDs
ocfVT4AsIMo0CoElc27ixHyRcxvjOQ2szaRFzrVNlJC4YB09ZU6cn8ZMm2/HuF4FQclYE4Z+dhxn
I1hXUK/xVJg3JV7Q93/NuSlRRX99bt7kf/NuXj70x7uZ85AQLUxRnPAsGn8yexJ3dZZ6A/agdD79
lNB3fsPOybGpEIihEOEU/c+xaYE8dXn2KEyi+JIw4v+TY/P/OjQBASgDwDCuI8Rl/S86sNaYCcVg
yapr2/RY0+K0l4HtfAvZvEKu4ZOwmP16qsN++kr9P0/r5Tf+03Nd0UdluoJEgeJOuYADflq85hBa
a5ZBK+Hg096qrDK+66EJHjuNYyWuMJgT5sv8oL6b7IpdXA6DBSNzmkDnDcCYenVgP9R8z8Lz14uQ
rVQ+PbOuoUE3GfT4fXITahTsgqj6Oiz6/BNPJh3HERQA3/MbwSirqaZdd3biAsCYBrtGC7Ss7tBG
fXlS7bOV9Do1eEt7Qovru9bOLYN/4wUhc9jGtor8i6aF4rsaZp4ZDNYvphM4O8mZVwAAN3nAiF6H
UZ4FZIHWoZhU6pXTTNeQA0apWvHcJuuMdMUxhn3evnGrCoOqXZS0Hw18AZ6hK433RJuncR3O5Iq9
PI61eZXXMzGAXGE8wp5SK4OvTodoNolXPoKGbYo2kbEndcbhWO3LcBBXZeYkp6qPTMj0vYi+0Go7
3Zpd6bxojJ0fSTDz6JNGjFvV7oM62lmdIXYO7cKAPitEBi0cq8TzGfIOQPw4V1xVmrczZiDwPFab
j54RN2m50js/fQAZCgKPF59Tdny9m2rULGSRUWVeTs222mtNFMo9Q99YXFduXlHkOwlN33JLrcYo
S/INGnMEPrOMuodBxmBLwDgFBJ6kih8jx07bTaZLjGW9j2O9HWuiqKkz12cfZ0+Hbm1HLoXZjJor
QtwkGWVYOkvddOv3OwnH8CMqMir2HNEvuXHekV5AcFJ4+qMqnMrlpW/SWM6oeSmxp/2FHqMM+07b
t8m+lL5a+mTaeFijkJuvRGcwcLHXqG3Q1bwQT7XeDdOZWAAHvTHJwyKS7U0t8SkSyDtXknJ0Yeig
qZTfOmF91+YKz5crEioVWyV8INlWaF6FjTBaL0GaYHCmyc+OXfMdrql6QgFBxNZ5qHkFhJn7lDzq
oRlBut5042Iy9EwkgIcRYkvM5+FgQCjnsUsP/5rz3UQj/PX5vsnBfv1y1bd87O8HPI2+ZJ6W8j0T
UXQ56n/MxfZvfJVtJFNhEFZiyfbfudj5TbAAZGQGyEAkjhn4pwMeWhhkasygJADQ9/6ZxWX5Q/58
0l4sLgAeuEwwBy6E0Z/nYvSOlmYuCqcpGt0S6kUUWpxYyEEuFbi4swJrMWr1i2erWNxbA2GbvRJR
f9YaN9iMvTFe5bJWxCfHVmQeTwD7zBOhfiLILXdOjEusuRjGOJkFGtDSwykT6X8RukVMs9KwmUWL
48y4mM8IW2NEo1C0PbkXe1q9ONW0xbOmSd9ZFYuPDVc+ljbCoe9tytSbt0YcoVAEDWj4wgVw2dCN
ds/NmXrE12l1GB171bd1BZ4EcDv8lwiwlg55bvLNbwXNqse+FdF9hzdtV6W5fyxAeW446eL7rJ7t
tSCN/BBMvBVkkulfg1QOBwq7hjuajCO2f1ngP2gXfrPRuM6TGmz1WMpEPygdvnO4kJ5zkM9lBNt3
xunjem1Nv30gYOh6ASLsDg7v9FnNQj0OrDa2LgU9eyeKxAFVZjo0ropehkSTV3QlO88ke4ubztG7
CYEoVlfKV9nWrmq5jSSc/0oBpeYAs9cQsMQT/WrWqcfrsR2dCAsRM/SmSs3q1k0Tta8rtzlGOt6i
zHC0vR8MYUMIFsfHkFnhPueJv1Y+YL98MSiJxIg3GbufvQ/oei1ogyGTWlYsUydGbYTjezgy9jpf
LE5dxG/YE4W/4Y3X7OlH1w6z7uLv6EW7ZsdrPGOWCb8WopY7ZCxzK5PIehcLLTRauKEVOYHnRO+t
o2NBFc0C+KLWBTXaL9TRgTSZlzVFfQ71ysKRSTX9MPDaSSc3fSnT2DhEuKZZWUbWtivAltp9b561
sba28wV86lL66k09NFQFjcGTbgPLNrbogCc6mC301Jip9yHUshZS2EJYdS6w1fkCXnUWBquwoLFW
C5e1aSvzxVhYrWTcxL5Z+K3VQnIltMsQAgMIEXghvZYL87V19WrVXDiwCxG2l2lzni0osePCi20W
cmwyw5BVF5wsVyGAMpYmj3KhzWrUXH5byvM+56XoF3/ZnXXp/p2XGmC4koDYc328beyoXIUOBNSp
DlFvIfRiP1rqhIOlWDhfHJXm4q1UF5sl1HZ7oxbv5b/nGvjbMR8T2MffVBH8Z87HoYHZQy0pLBNL
Agf+j2sAVI7pEB3A38/Brrs/A3bEb/wCswERAwv2DZfKH+qI+xtH9Z+DB/9AHUGE+cstwEqM+Z5W
A/4gU9iLePPzLRBDlUxqvK9OLJ1N2FaQ5rBznQwxNrusJ1bjjRm7aA4gfd3I7lOMiVjnhpNf+yKT
B2eS5rZnVk89w5/qHRAO60sJneqalEF2kCb/yf6k3yUCDAkzGd6GXODuAgmXnFqD/6dOOO25PPry
eTYsSQhKNPBIhNZex0sdIt4/cmVsn3QySKA1mszqdrPLRzalRUSerFG9kqD7Nm1f6sS23OqDXH5H
sjSFIZMMxW0WOR9pCKSjSyEHVDzv+324pManJT9OtcC4LrqKH2iXT1KbexAVS87cqVPHS4Y4X1mT
9t5omaIltaPFkgOIwtMABYcObXDFLfnUwnA3YZzD0SpHfW3l7rE33U/Vd/nKnAd7hXlmvEmt4dE3
54fJys7Cx76WB0yKClbihsxAhCtNlSuMfNVJCvnM2lXnjw5H4KGRvh56Kh+zLmwpywUHRMKJ1Zkc
pn0m+3ivGcBhMhCwYCZ6VPfA514MJg2mgGl6uRnfToOpXVdjfIy15GbWYICF7VFls76mz42/PJRE
Wr+KnkQ/LYfPhVuW75EOglV3BK4yt2zCa51IHwXZbqYeLRfQBKGUbt1NWZmSaIApX4zc/LNR5xvQ
/o3n+9L4lvpNc6KRMXkcR+7uzuqmrwaxiQ0JvwoNW5cUfnWcxhLywi2M5K/DMPE4iFvJrm2k1KYR
zaGBhLyJGhQclrHuIai6ZtcEs4XyVROs9SZUPYo5m3hthuAJO5gelRcZMjxpppZido1gaASxzr9U
Lq0HV4/uNfJmj1LU0ZE+XvE0Sqg+a2Oyg705DVxQU+Zf5w198V4dMwHsME4Yd1owEX1I2TRfAZ4K
TjzTH0aKBYI2zbhM8/TsmCxNhhZ8AuGJgOJQnpCQOdpdGsO3naOeZUZnAKqd45komQYX5RWTamew
EXOSp9klP6AyYwDEk1NRZVRBfWhTHzg0X/xVlTZE0WbVXfOQIACNP3FX2lPJ8rgYMVfZofnJq4eI
o8DfsW+HrtvTYlSeDadr7gsMTkd7gg6Su4RS0jzkBy4LqgE/a+zTRVC51/401oconaZdFyE8Winp
AgqNx5VVgdQeetPZqgSPapYZn5i0l0bXUmChQiXGXtWhPk1zdsnRLLzOS2UfhfXDO/ig7jN3JbIj
pR3sTS33PMRRs5VmPNtgzdvilsGYXHRU5PljlLN99vxLISASP25e9Lr3RRs7JJJuUXxWgvVS5OrG
ZkwDKN7+PDLg2cwDeUHThk8xKn3vOEf7MG9PFrLFOu204Kb1R9JOMjeOdROaa9tytNHr4il/1HFj
HQyiD7VnjhPl0qafAhSjo4NMArimVQzxhr0P5RM4fxgVCXEAwgjrpy6xxg8IgDh46yYq162NDXDF
bEJholy6E/WZEDg1XmNRrctwKVYkXVJzXHXiuunK8pznZXTCMx8+yDar7oEKDhFHsGu+JXYfw5FN
retpTMUXEwseb0VrvK+UMeWrhpslWv9rru0FRvfr19ttikXz/dfvt+Wjf3+/cT3bktUGzyTeYybL
iB8Xt/rNsmgdxULvWBhcLJvr+QcZT/9NKqjivO2oBRMA9f5zc1MmZjuSdO8SYdD5h/wn+pxwlufZ
n4UysJ743NlsSGIRFyfnT0IZb7fSaTJt62BVBr29GL68PAlCcnY43BE2LLdyTr0lrKbF6lAld1GO
1fmY21P9SZ6gim7sNpRqnaPzew4ZwcW7bVGAUKvquz5105PDhJmtuSenm06n/cdTcT6n9FoV6kun
8u6mr4OH0GzxkHez89X3dbxdPQ2Wb1pc5bdt2YpTZob517jxxV3ZVc1nnXMKwTRfykn1S1HpsEg7
CSz2bikxpTwS5SKm9PRScVolNXWn2NHR7AhrkbSYL5WohoVlhHx3UFvHss+6t1FRmLPmMdHPrAsQ
PNgwmnJvAZq7Dy+9q2NrPpl+lr8ogUUQ+8/SmWdd+vMifenSi2Zq9dqSgj3K3gH1WJNfIfNpSwdf
QXyJzPilm09eevrapcD52g8dDgV+CGWBsr70+oU0/FmXrj/n0vvnJ2Zresg/ZncSejKzHQ2XnsCp
Ct3oMVvqAwmoV4xeVAo2qqSrJTAHigZ9wbLm0j4Y+EsTYXVpJcSv9L3A2JJ4NXogobVSqT1s8jjB
cNuET6xyA2sNla3dyawqgXEY3ZRfV2opNuqyzL2LxzF8mJPMefLFrL05VQgfKY+5slIXUx1nt4Ws
qzmgOdif1N2e6QVHjSGLG8He7kaDk96uwZMGoTdYXVavIpqa0dEiUZE6NKpjU+V4FfUMbw/MM3e+
033VaNdDbDgbiWvgnPtOaa/JXtu3NOmNw8qeGsk3mpvUHzVKwr4IS1CfU21r8tw5tn9FhQNeDh8k
egPluc/NNSKjdgbTjXlzsPGletRuD4sXMBUQW/thk+p6eU6olrsJ2kQSYI2W7suROlfkDZ6xnVe7
AdAnh7Xza4IGuzF7Sf48s9Lw25DW+taF4wXOe+njmWuzew+62L+pajPY57MfbJIqmPSVk2bdK1cy
Fi1LZdRUGKkR3fsElJqDptVtcq7gKvLD6NsLdWl21M2/5qSWKGK/PqkPWfFLlW35yB8qG1qYAWYI
47xjSFhZP07ppSgHyx9bFsZkigEEH/PHKW0hwF3oQxJBDTeb+O/7yvqNA9/itbYcqiYCnvGPjmnC
3n85pnnCKYdPDZ2D70b9L9vnbtTtCIrdas5c5PiaCnLMdTDkwl6RTnEl1c9BeUXPWbMv9F6gpfX1
eMToH75I4jMrf4A/BPLUeAgoDNtOANlikZyMhnyaV7h6evDdqFr35lCuerJe2zaMEnzreXfLXy/n
3dW993Gev+gMbkc4g/1Woeb/H/LObDluI9uiXwQHgAQSwGvNZLGKpESKkl4QFCVinmd8/V2ZntS+
3Y7ws6Nf1HbQoqhCIs/Ze6+9bwFdnFJbNKy15JcKgDFbCvKVpE3qFwN1aMdUaJ2lV9rPTF3twZ/E
J2sQgM5ivI0suGCnhQNwvJlC3K0J79j0WXAAJPS/tE7snge26Ze1omlG1CEWD7HcOwU7r7iNo9sy
D8M73ISsRQDuGHBJG/vUU+J6ln7XIHtk3d6wqOjxWoEv0q+9G4p5rLM3UXjpq1Ifqep9osF9b/Cq
A1BU3T+OEVcH+oTpvox8XgRdFR89X+Fi3SYY0F0cszvXpeDMXvBy3UZ2snD/rp8jDHP4U6YKT5EE
swg8Mt66uqOoqSVW+gDyCP1FpioywthiPLSq3IiwdPCcIPEf1jKsf5CYZhqCTj2f7eAIk+jrbFLI
dnKpO14YZkV6yLHno+e03ldXDvZtPaEJJVTgXYmd5bt0Yjk2FnPI0BA4d7ims+cCZPIdwNj5zSHX
9SKbBpdcX36BgZTv5hh9iCWriTJE8nbeGkyrLP+d4i1ii7YZ+f+Y3pf1Vki/f8ztaHgzF688OFRg
H9bM7Q+hVzIQz/WmKabrQmD+MLkMoUGXvrDrG45mEC4/eru08L7GAdm35MqLG3e3v26rqbnLVgjW
Nl6itDC6feuO8W3pRZyxcY9lKKNkwIYxiO1y+heEiWiQJF3zt8fe+fX7UL7+/5Pvjy/99dzzfwHX
7CqFVPIKUufbn+cewrCnsM3oqIELhOKPc08jnZG4uDGq+C068R+30wCztsmBGSAFSFBC/j8CNwul
a/98PVU5JuRthl/wbqCMVJfmz3sl26DXA3A7GBQreljNKPiK5Iug2c1+GbKAgZt+kzK/bTPXGYwr
Wfj1sTMEV4ZeXx+iAgypo+4Uqb5ezPqqwQWMa0dEqACzp7qNYCWu7x3D7JgGuausOQ3dG7k2WGUL
fZ2pSo+rDcuo/qOh7jumuvkQV4k/0ohHg1/j5LRK6UvSGmDW3SbtQJu3s8RIEUzyzz2GkYyJNAtO
wjJ4/CdjVRANf73hIsemXnVHO95CjbQdmSI+YHSmgiRILYkHs528zykYSTZohtnOKlsBKiOphMUJ
bLV3dmHln+a6qSaq0/OiU5UP4jq5C4wxLxxxsZrdItidO9F6nSmF3hN4ZJsW5lxxzdraJV7VnGFQ
W5+mOppoLUFS2vRT5nsnCPYGEuDkfTTy2Su2s58l9blOAH+sSJEw5m0z/zJWQfZEVK05ZGZIZ1BQ
DOd6HqJdYk7meBzNbDl4oh9ecpPiLNqzYEEUjQsf2zTai+sQISnEmjwskn6hzVJjPNk7g5evW9ip
xD9pVQFR5gYvfFSn95BE1UsSjlSUFhV1YLNYPjXgzmjIBHo0HnD6pKeV+eU1a8Cl7gU3RYJLSd5c
6UkHllnAV6aeW17dyENB7TtvPlSGkV7CZvVuEGqnt7AU600QptmnvFfAihzR9D4ry/ChTO0xPBYe
LPGdYSNd7bzCdG4TJ/J+0CMs393VCMZdBdqBgo2ABCxovT4lCzvRNILgA6GNFA8M0pqGKFYGASSm
qc8DBVXeSaNGFGZ8CmgbH2t+gslgP43hWD2kfty1hzKzPfSpfPrEX99sHnvpwl9xy7r9jK2a9SaB
3bNb9Eu3IWY32wRtXPlcqfKVrdrzOFsWF/D4xyVPTpZyG6P743TN7dT4akWmdwaOJDjvs4Uo9ThH
F5YU3ilZyw6wVd/eYZWcP4ZDlhwyP5g/JgbGfTsoWRdSz0IxEYzf+TY3O5z/uVOND1EeqK4VPtQ5
wLmdW5hhui3taX7NwXneLuTY2ERk9UTglXo9QWP5WG0H8oWUn8zAPzaonQCleU8kn4QaRKKS82AH
cdS7zNJqPs3G6DD9Be81JItXJ8D9vhHchsptnyS86oXPVHaYLXvcML1MxyVJOwzhoeF+piY3r3YL
u5VPZPicl6nznQ91HNclq0pYtHG/lPe+zZmyCebE+5FACTva01TClJYJYNSgzfrriMPEPS7zwm9m
juV6MdwpfjVTx3zIOotmlsLkPm+kaXNDesq5a6YuosyJRgZqotJQPqJKDs4uXOog2ftLZmyNZG0e
Ej/or26fBo8DbOF1i8XZuEk9uYChX2HZ+OuS7XrMKD880eBaYYadjrTLZFQJtZ5dbCHUdMshDCj7
aSiNavd8wrKr6aT2E3FGxbLK/LrY5cEaKZNsxyZwkNMJTklF251N7wzwmvghGiuHTnpnjreY1b4a
WFI2Eb7ahyWFgp/OS3gIW0l3o9OJ6JWFdwUyugxTyNL+7GzHeKj7HZsQB0ZKvrw0Jl4NINQEyTGc
ZUivnGXlMybJfmBN3Nd0djhF0T1ZiYA3UzfZl4q5axcy4R0GUqQH2a8TwB7DQVQLh+G+ycBE3gVF
6xh7Fv3WxYTRlW6zHgr3oTPNVuDyY7V9akt7+dIkoZNtKijRd4IWMFbZa8PfpA08WpxDh6Q9F8Yl
oZc2jNwfpsFGsc+T/IZvdQygHZsrCO2SU5R15jCB+GqbY7+YXrCbOckqjnnP4fobRYA6yfuQxl/I
1O191oLDaaocGR2oloKCZLpcsw+2b8fdNiv68R1sWgSBqchT6xgjqpAmL1gsHv89wx7XkP897J1f
/1tXxW8xNcGX/nrrCdih6bQzWzSuGJ7/h2nO+0V6yM7KbYHdl00Eg9bvOzn7F2kyVXEZIlZNvhmN
6zc1jR2fyvizxXMlVjeKaP7JtIcH76+3Hra6hLeB4KL5MUf+5dbTGraSrMWxSukA3gm+T8zF6g4A
WLk6h3KO2axHZQ1B35ttXKQhPjCvsV5j2iBQvhLTfO99BIPjsnbnxstp3apgxV1TXsHdiZBLwHaj
J1ARzGP+Mnfj7N4kq6Ue76l9XimZyqHSFclLFBlJ+jHo4JRugbvLZTeMHcY3qzKOOZ/MFQMb1Ql9
X6ERiC7JdmDeCery+gd0iM+22jkR7VOBLqJyVCeVp+upmNayYx6p0qrKJLtiqSarZYD1nSfzdGvr
oitjHocH9NAxIYCkqrBohBLXjnvQI/eJfBdzYL9GNe1Zcdo1P7AR5z38C9957HKUoY1hQWEHvQiT
MLcM+djx6rUOVFWVpwZBLMN5vdj7PJ+d76KZ0R2iRNV6larha2BBxGGker94UaIAqC4w3DnOm6v6
wYI+Rhhyyd7eVbpAzFVdYn1uUitm9pzCI1Vj+SjN+TxmLgVknpmFj/SMktQbVu49vuoqk6q1LFf9
ZVaKIMpLv37PVbtZldklQXYaz1az9e/9KCwebNWHtkKw3zRDRXdFPGKTM/Aj3Ec2FWrgrIpH7jzu
qfGy8T7UXWssVKldYyGK8a9IsudM17Kpgjb8If5xdTr3u8iAZI2qyM1xORjx/PXRD4iGkbcb5sh+
zt2c/rcqyIVzrHlknuUy+xS8efPnXpXGdbo/joYX3PF0x/GqKVXFHHLreJYDZdw1VMvhNvAaM97m
FIi/2u0UX9wmTE91JLFJDK2FQMy+Vmxs11te+jLzt/TCi8dMFsG3jBugcyjr0v46xmP2HQqW8Q0G
uPfuy3Q5zdzj9+7q5Mhdo/VSZ751P2FuA+RSLdepm6svkzvTMzCtLF/pkrv0cwohjt0NP3gjEf6e
KB1KF36L6YU4PTvhpresx2xtcC3Ksne+dj2plEhG7YB8V5af0O0kewwO9bg2KbFIZfaDoriRM95N
HyYpARX72fTkWb3/Yaw78YxJok13ODq3KPnyzKWwfhXUV9wnBqMelOGeALeD6EP+jS3pCwV64X40
Hp166a8L13n6XYrqdmSHeB8Hs3+yZ2O9adRNdXA874b1ZXbp1D2W6nhyWzLNvWsaZxBvYsGNtxub
69rTSrwxu8GMqMl0ytdK3ZMhoGdcmfX1eVQ3aXp0nUOsbtchePoXX92427QLXmx1C2/0fVxfzWd9
TW8MyZU9V7d3K0/je1vd6GE9O4deX/MzdeOX6u6fNoSqYj0QVGo2mGSWX5bBrx88NTkMaoaAul58
KenXShhwmDEmPW5Qd8joURmp93H0oSXE2N+8U6SmFK7IDCx51FufYjXF2CVPEjDx6KZSM86kph2j
sZdr1ye2cSP1OIR4qvDLakqywoCBadLDk6XmqISCjhVBmRHr3/Pa5T34d69d2C//bdvw+5uXr/79
zcseFTsjeGKgXMp6/ue+wXfRyfCxc4ZKVrG8k39/84pfBCxjKlG4If7mcPn9zWv9Ytk+UhkWd1rE
VS77n/hYWMv+Zd8gbdW+CxqQ78LHQv6f+4bamyNHIphS6d0QXFBDmFw95jFVY1DrGW1U4xrbNaoP
Mz3Fuatv7EY922HhSN94nI1gV3mxle0cPQm2aiiUw0T3gxoUQz0z5np+bOtoDo8mToWHGhXmPk45
hDfkuTMg6Tzlk3reA/XkU4/obCj8SO4Tex2waHFIuPq8GJaQs0Pm/Mk2a+dU96E6XOwy8s6Y3bdc
FLAzDOoQYoL2P3jqYIockp9+mgH7m1uuu+oAS9RRZqtDTXK6f4oEB12sz7xeHX+eOgizMuRMRF6x
Hn19Uvbq0Myjxsq3LaP6vuttw9kO+oTtmaMupjp2+alG51kdxTbgKAofOJ5zo7DvqZ+wXjBD54fe
oKLBX9vlRK+39z70s/EtbcLse8pl6avZpkwPhC2Db8DDxCMDGq1aZb2+TPq9MYwB75BKvU560rkn
oV4xc7c2r6F+71i9WfAOUlWosK5pRU1VQeqqqlIDgKJfat2fGoIAVi2s1KoWKdN9D16AplPbZkFJ
/2oBWRMFXZWyim7xMsbhKfg4luXKF5EguOC3lOnGw5ppb5wmHdN9xah9LbrJvlS+0e0YhwjPWyhO
EFsmOmJ73RdLMtt+TVWJrFB1spYqlp1UxWxpu9Ou1L2zqx/E76sqo/WzATtAaOY+qX8ojQxpqHZQ
8tmyfIIpS6OtpcptyzVq3rw1td7cvKt6QDl55Ypdi3Oc2tPJmE5zHOKkWqYsJEYKSzPeWdWyJjso
HfX9KsF00Szbmw7JeDB1+2ZIwnC3zr0Z3kCtG9tx09SWqBiwzTx89ZZ4XD5JehMtTFMwa/Zy7eeR
UhobLGi8Urz3NZEAovarNdbvXjYlNzZmlattiehtKWSSExEFmCpzaz1LSPIDNtC2Tbcznab2zu0G
vE7mFE6nns8TIp+Q3zyzSZKXcMSZyr4fgt4p8Bc6TNfMiS4sPsRDNDDzn7FY9CefJuE7MULdElMx
rxsDaVKQdpPDY9VP3o3huPGuLmNSAqWSL/N4fV+EWX8HZBS8DWVfZ9hih/Er6Or4FWtuGXCB8IOH
qB7SS8arhT111iF5Gk5yh8S5dvuhzHf4jiMqYM24uPFkFGTbubC4ws12JykqorKR9VLVf8fylUeH
ZEqcKyJ6/yUC1UVjYV0ImOBLkNwyDJos2Ng9xnqzk6fRSi5ALXwswLlHRy2BancYy1Ogd0OtWhOx
U/E2id4dDWqNFKuF0r/n1YbU9zevth/fvv3v+Krga399sclfcD2q4RBnugtEAcP9r+lVgTuT4Kjq
SeV0BSDCsPfne81GNcQySRwJb7/8c4/ORAmEn8W3JfCI+Lw0/8l7TftF/nOPDrzJ4duCuW9CQ/HV
e+8nmwdVga4b4dIIWZRQ5oc1qd4mjVG+jd3kPrmGpN6wsMbodggauWfkSDBDjgyHGwnT6Z5ApLjN
+278VEzmzD+kdDp6sGbbii4yBNx8jDA/Odt4Xct3D9kwYemY8pjN2AYTDjmrfVxHX/xgWoluZ9NI
ekr6enlpCppZiQaIK/GBbGtm0/AA/Us8R3gcrqY1B3dkfz5lvPLYsBCsVfWiPXQMd31rgrp46+kA
fwvj0TsMXT8fI9HDeLQpgr+12hS3v0ikYW68VfQvGU0Y1NTRE8ClvqpLMukF/45kzHzvjwQft8Pi
BDfFCoEfYu9IU4cJIYyIEks2FH9X4fb8/MYy4y46OgVdU9DYh/XKBRKybdzYkdyIxshQ/8yl/TgQ
jfCvBn0nr5Bfi3vRVPZzC+MPNnvSQAWmJhanayfvSjeSd4HphBCbI7b+K00aexDE9sVh9Hx1coem
6JB/RuCAveXYhJX1ZJeqrz6mGRGNMetJpEurzy7JMttHq2MwukuGZrmzA3Z97CCT02gkjOZ8P93X
0Ov8cgt/vAYVlWXxs9368bpl/uQINmOGqZ1VluK4mBYip+PkZa6sqqwp27qhmqy1qZwj2Ep33UJd
Qn83FPV6l9Se88HzivjzYppdte14PZPpapvllRsRdTpZj0++Wiy6KGfSwLBTGifyybDOEQWEZb1v
yGO9QGeeq6M5R272MS6CihE+Wh2Eh2Dqt4MVrenOHiDj7MbYydiZCmJ9pMWY8ngnd2Sc4lzukmaR
0DK9ermhUsp6pqOqozurCosnz2788+AJGNCBV7JPh9KL/dOd6/NQhePBqQbaZL226FSOlgRvYmXr
diFj+S7WbrgQREvv23XGfDhaNvt1Km3cbm8VGFEWZNyKRTGyKBWZ4sT0lm/zUlAo5VT214gQxb7B
svJlVpC6yCiWGxgE7tlRCDvwOlS/KKxdkrYQ7hZat9+B+zSnrgOARy+S+STSCuZbpwB5QzTTasbx
cuWmvXzzWtzAab2Eb03jl69UwYfnSgH3ZD3eCYXgm8N5dPezYldlVBzfOxpotWq41aQ4VwrDOW5T
jb/K2i79TCTcOQ4aj5UrUtZajfJmkY7V3Bi9G9q7VbQK8FaDuoTkTG6RjlTyHGx+kkOUE2fe4B5F
jWsUpSsKkZ+lk+O0BK2z3jso09/xNFm3Vu04H4OEHcomVOQva1rcXd2PiSpyVmgwr1vlHrxJ2m07
DQ9rZS4AcUAU89oBhrjGjDGzgRwLNX7MXOMeFFkVqC3O7MT3s2KVVbnCloUaYTYrmlmuuGbRCuGs
sLz8MwtZv9vMioCGbBofl2XxjrWb+IR1RHkReENP1LOCT1s0Sk1orJqpEWsTKF5YMIKGskkx2OxO
LJdi9bibC8Vo86tCfgg1uE12Qyq3BM4BupHWNF+kxry1cdo8BSbst0Zj4KZJIeHmLDLjjTU4TrEh
ZjlEX2tRrOtlThF5iHkaUXUaIg8DtUMfxs526jV5S1urS2DlRML5Psz9kN9GuAeyB6wFPoDFQXJY
krPszduwXkbI7su8eqecmiHoTeaa8alNWbaR/8d8cIaVQkVphzEvOUaNh8mBkkN3fvbxhEBcc90J
A2s8xuTV7bB3H/GJ57egxZvbOTQ4jzy5pg5durFTHjqrfAkhKZr7yslMA/Y4wMG9XUN42Gdc9noe
S8Ny3+h2Tb9lkG23qnDo2ozpQF2INcAHBwdl3UKFUWkxly0kDmerBZYbDkUJ+gBwOLiYyA9o0F6t
hxSVoNxkdgG4p+ayhhsmp9mPyJjcIh6ArGlX10rvra4InI3IcY1s/XHuvssxsHt6Pebuscprxz+1
VUhhbdmsmNeLvLZuAbSIFbs9kTvupa34XNduibGdFxqgrNrFMsK+qfoX7BEYqW3crH971Zpe2//u
WPj1K3+/aLE2cHEYYOFmy6aRH7/etOxfiAayQvAxs7IOwND1502L65T0sRdYivwENO5nPy0CAClK
x/HZHvAf/kegOFwJf90gOHxfOCB8/L7sPP/KCZlrHDhzXO6Soeq/+m3ThxvXmJ4o1wyfkZPSW9ft
289l3JMFl4iPREvSkYYx3OD1s2e2+cdqteV7qAnJtqYlE0y2Hmd6Y7DLKJyyEICVY81YDsh7jAcS
bbLZmRaYNzjMI7InHe3Ludak5lBBm7mowW+eNMvZ01znSTOeZ1Ii6JyAn0tTwIC2IQN9CYaYcWxl
Mj33Y+pANaqbABwYQc7wONlJbmyFHdJkG/vrejYxbkb7OC/n99mZqw9iEQkDvxqScRaU4kS5dv6c
A1Ome8Pr+i8eWcM7yyjoXg4B+zyCCAOCMpl4dQ+WIzCkMWZydveWOb8Gkqj3MYMeux1YDuCfkqHA
jywbk6yL4XIkyrZwbwqR2d11Bf7obf2aY22Ya4duDa8cDxkkzfzYCJuK+cmpwRnRMxt8HvzBJVBO
tPJD7NnJ1aP49FtfrnN1F82CWCKJ7fGNuCQICztEgb6B1yXw9a5ZNX8QrjEkHw3MeiWw55wmqz5e
CqxUfsDA5RXXtBvk55JCDCjQtkvjPK+9vOWvhbfu9A2KGH41A2f/HUNtQ9NIvE6HNMrrD2uc9sdV
9ik3kbYi1L+uMJUMkuoZNfdXb+hMseEmOj/aY5ceLLMTX/y8Mm866CR3XTOlB0F/HbqGmUKhHSNr
H45Zck24Vn52/Lo9m7XZfOtQhK6yoDtkmvlx4syLp5t4GiMVL3DTm3VoxXwY0akpOSmTErp7Jcb6
0NOqcFiarHhunWWYdjAA4oepBvW0rwIDI6+/5JN/6JKiQShmpt96/JQgCDKFzuBCPNjyJsF/EKJm
8r5ALDz5jaCMO4ut5smuRmO59t6AQcfycwzREAzz5mg2Xih3bHm9Yj8lInkax9UwcB2WhBL5l3F6
kbVKh2To8/vQYxVfJ9h8uMfOxofO9ucD7qGEJVZRf+8LszhB2Rlu2rDK7hDBVjg1vrknIOIcvIBt
CLCWZIf1MTxMqT9+GhumIOyTztErQEEREaWLekiWL97Yh4cU18jN3EAa2DQN7wZB59aFKxofugnM
79RYFeSwWDyvhRn8WOg+P9gkp8DbDtm1Wexw18myewNmbt7W7RK/l9Jfd2FpuAcLKeUiJudzQ4WA
xJ3thmjjLq26rpDy89RG1OTUI0PYLVckOqKNOXN+1F6bnanrqx59qggF9vOKbll3LsrhsmbDun53
fZmFT93MB/KQ1YkINgtMjmpPjr+heiPsfX8f+i6/FkFNYTf+RRr97JFT9xKFlvwcxeXq3RvhsgJa
aIfqVcoGUWVqk/xtGOrsXFdmdqZmPrLOuZjTbD8WUwBJEOCP2IJmsMRN39AxQ1Hh0jrTdgE+Ic50
gLn9hwyz8207Qn1IKL5NbiuPCeuIU2EoMXwH6QEcon1TDibtLWlpfMZsLS9OEU/PgPwBFbMYIqHl
VgYCfDSWxbW2gcPuXR7dYmcnjnONexvwwZBZ07nxLQq863mqJwRGLilcHrwl2eWKBQQP0IUKF7NE
68DYhbt/z97kb7Ffd69R1f1/++HvgsAf2C/nF4Gzmbc5Bzl2aXT13xcnvM5JucKvQf9GcZeqxvC3
xQmebGhgatliCtuznJ/4NRJpX2MP+NdcASzp/JPFiWSf8/PehIuH4wS8OJUiIVicKH/iT3uT3qjx
lrFgbVyzjraSbo0LnCQj2fQiGrI9Nzz/hsD7naibCFRk7gf3OHuaZe8wl52WajWvAGCyO5eT5TAS
W0VdDoNoIFYewCdupKQHY51Viyh2MQIlsAcoQPbd2C4+TGbbpB9EyNz+bJaqgTtNJ45hAvEXcqxz
vJlxac77olxVOIdUyi3N8R1tEC1G3CBq6aGw5PQxGHzoZGVCZHLPegj8LMiVrEGsHTnF8hnI39AV
FVzMNVbPZobBCPevkPc0As14bczqOxgdw9vi41nGXVaZKd1+iczfg7Y5D3W6iLtlCLvlqWMhXt43
Eb7N/YKpcqUwsJqoKmqbQl7jrpbiyiJoHramIXEA1Ngc2s85ANji6EaRnK7/mucLBv/f7CW/vhbv
//W6/NsTpr761wszIDw2f+r5Yi0oAGf+8YQpsJ5JsNmzLdf2kER/MruIXyzf5rMvHNrNTFLkP5td
wEIhtFBqgwsGpeyfPGF8L//5iAkaeLAM85ug4/GY/78EWpt1bOTgC9Sc7HzCJX4/e6z8ERUMG+Ak
4SFsaLuFJ0LLCU7BGOfVLcHW+dWHDz+QzgUr4YYSe60ICVylifUl0+5DtaO7HbUnMWxhrW4aIEY/
MnZDPBPYF6OVX8G4bO+4ZRJUF6Z3apTh0UcfxgSrbJBxG3hnv/SdhwBnWLSL7RRGCNHl5BQoG2Uc
DLaznTorw12p1vOlWtQz/zr2Ltb7+4Cl1pdULfUbvd8v2PSbvqKI9BBEcL1oLaBsHHSBQEsEGYY5
bnjFLsW43e1DJSYkWlcA32MeoozyHrZv4YMfYj7eOnWSvPJuHL/2WqFwiyx8w97SfI9oiX/vS5wu
lJUO24jOUdYqCB3kEofHCLOz2DpaCXGUKGJ2vXvHKN+fHEpXi7NQ8gnlYfEl1JpKoPUV41etResu
nZJgBiXGWEqWYa+BQpOzerN3lJ92NL30jZy3VJYZn6x0GW5WrfIQS4/ebLrErmiRyU1Q9eXHiuFg
m+DePZkDf+f7YcJyU2/6Gr3ymGicf2rl3YeCDeN74tWNuOSK/J/oEgACdxQCDKobgBge8DvVFxBA
TbhUqkNACMM4Ekexl32uSwYSALKcljQPpMlU7BNdR1CrZgLwMIIDUfUVtE1pPnGw5cUuBh2af0ua
zH+L3d68a32R2jhSBwoXQmuihqBogxbYihWxFu7CgVsIlYhVf+jiSLwvZRk/BapUodL9Cq2/Tthh
Ixzv+1V3MBCMtB9TjMTDIdQtDZ4qbMh0dwNYp/R5nODlb8bOlRQDoiVskpbKBzmstD8s68qqrNWt
ELEuiACVbOww307l1tAdErGgTiLVzRJDuMBILtcye+GHxxjCfoQeCjJCqpOiB0J9Vxc1XRXkNBuH
P97c3oa6zWIwVbMFe2xaLsymCtu9kw0+CmVT+eeyIWDMQlL1Y7BNJpQDpDV67AEBPkRzQpcGrg16
NUpVscFHtI22cBjn7yOIsFNg0hAY6l4OQvTi5KsVKu9TtqmmWqymese6GtNCdl3vXm1wYve2WsgC
+A3fiTPRBeuM9EwxEHbPQm9xe7XQjUVVn1vHYcvrq4VvEVUk/ckY+mf64wp4Amo3DMHAem7VwnhZ
ay/d+nqPPOqdMs9B9YUPV3od9M7ZGtT+ude7aFzd/XbSG+pIb6vXXzfXeotdq4X2ShCRfTJLblfv
uye9+3bkWg4MMCuqBkhFFHrX40hLHQaaVe/Px9qNPltsM0EApPTpMp3X+XTs53DrFrVR3GQ26vs2
hVJ7zZJufPjXvDsVBfF/a3rXJPrR/u+7KV/7+5tTBVx4P6qOKP/nN6f4BWiGMquo1lYAs0oH/F3U
g7lCXoUoodQ3UVXE+ptZBVotGqCl/odlE7XwH91NHZNv7OfLqSBW6JoekCte3p5J3uY/L6fjgl/D
cEBouSYdYv1sXuZwSLOtqzrGImjdJ6qH6R2DBX4j2JWcopVWsqgN52vZB+IpVZ1lUReMDwWo2Wqf
qk4zR7WbUeM8PowDjWeSofLWVTfFTW44i79cglFm6ftCeOvBaJoET1/TlgOUQOxymKjX3mHJxaFd
37XaZt0pxzWALczXvoUJBSJHkMN+SD0M2n4irUuobduttnDntjtgt+cPvXGVx7sohvDAxSHcS5fO
SDZR2Rdu5PTgmF09PCRLvrxhkZlJ7QVGfF+1XvFsaUs5nkfs5a22mpvadU48/DBpK7qJD8PZLqND
ibU2q08yj19tenLGXaLd7A7uerpc+4d+zL12ZwwY4El8JA+jMsV7oV1b27hkdxEB2vlQaP98pr30
vh/jq8dyaT/5KeOjgnfHN4CZMOL32pRvW9TSAsfCJWog8LPvUg5+/pLlnbp6s9SOjPBm1I5/up78
R6cADL/B5ekeDZ0QIHHYO7t+WuTjutCXtml1nsAV2BuWIcUd0niR/2Mkm/QthYX4Spf4cmkmh7YF
to2We5wjybqMeR7b+wh5cEcQfIrBlKugQ1RnHYFIlYGgmcX5wKkvOMWISABHIy3h85L4DPxSaZEq
TtFmbhUcCEmTfvBwD0O60RGM3F7i15Jv9mQhKH8yVF4jimf2abk+uQAkc4oNnGdCn2zpr6ecPvFS
JSYWi7HcSUygPcytbBGA6OcZQvlk13TfhpN8dDDr5jD6ZQH0eDaL6tTTtzZtSeUgaEplPdkbWu1M
O6P7OmkN1JvqathhvkAkTZVeyoUlu+RuZtKuHgS0uA4W9b+bSQutncXcApcI/bUcvf7gEJx4NZQ6
ayqdthg6OeHtQL3F0SNp8kXRzbS4GyqdV8SF/clR2m/ouMV9avPXMUxD61+nqWg/roxigo8Lww8Y
UCUkI00bNEBqlTksMkqEtfYMpxMd2kBapu2pn0W98bRovfTNAiKdn8+RGz3MUanEblvr3rim0MAt
JYdHC5/RDR0OFDkUlXfgtl2+tUpCz81mfWNjhUk5CXy2nFXFpjlWAjw6oyBmkfOgKXk+aV37Ki0Z
nyIl3gc4xPstuagk2xBy6VrQoJ1Idp6W/qW2AUTKEcCox+PWoEiGxzkx1uhCzxAGglKbCYh6jbQK
1eJWMk/f29p20HkpFoReuREK2CvxgdPCfUrqqXxDzMO94Hvp0p4yrbFEXuxMO6oF8dRYSoYZtSIz
aXWmVEJNWmYihYOv9Bu81a5/8le/e2ywfvdnxFDQUZXTLzxfeJHSewHCDPu4kokYkwDt51o9yrSS
lCpRCd+VFyAkwg+CI6t0J8yCtXnxtR41aG2K5izzdtSKVbD2qFcShvibx7ZupJtjilC6qC2U5j7C
agH5RsthYRGVSGMLx2Blg7nYuhRh4c4trY/gNpKPdk6ibJMX4w9ahpJkQ31h9wQAq3m0/aYgsOWz
y942TZdHt3z4s2G7mOioW9mmTX+fcrPIzzlpM0A0iXuygE68+HPofQ1wCQWHNqPhHoQDv9PWGmh8
IvCQbQvTjU6L3gdTeZneRHpLjAN7uiE5wO5YNbLterVQ9pGuv/Hja8+xWjcXYkiuvt5B85NOD6vV
Znt8AOkhs8zxzh8n84a7jvhiqVW2vU7zo9T7bd/Jk6sh7R45hPU3zDo24WXJRntR6/GRoPqHQa3M
e70991rTvSMUxGXWrOzpmzvn67lTK3crpHK7UGt4rpnyc65W85Na0hN2bugo1wt8Wy/zuZiy2Iei
zZLf0gt/zh8OK2NABzAmJQlgeUAekEopiPg5c+1a6w+9FhJipSkQzsYNt+BRIy/BxTs/WuMwHtBc
GVQ9pUtw9UaiyLVckWvpQmoZY9CSRqDUjYFm75m0IpoHkzjyR6eUEHZHiCKmFkhGLZYEWjghnBE+
mlpOkVpZURpLpuWWRCkvPiArcTIK9JgUR2KOBIJKA7Nlfl+1dEPGfT3bWtCZ6hBxBzoRgXZ+CYVI
6k5RJ1qs4pxJVTjaqO5RfJTUkHrpSCVpqNpJs1EVlWLc4xKi60tTrhDGIXJoNU2pN/3XXE0B9vzN
1fSJnc63/yKC/h9557UbOZat6Vc5OPfU0G9yMKeBDi9v0yhvCLmk955PP98OmZIqTWV21ADCVNxU
Z0sRIbq91/rXb55RnRe+GRpsfGGle5BtAt2Y0uH1cQzqkolgCUlitnRqBtDVl9rU3bOBMoHWcRay
LMaTDC+falN7D/QV/SwSJxvtk1Q3/QaRmlr2bW1KdK6NHzl4k1QzYHskx6SvgNPaVqmQNI2hC6p+
IJp0OONJDC6QKVqXjIXqRUPZCmuKe1vnluyar0OBZYPqNdq6K6f0osp4Wkh/NJdhbmsBUmkiDzPc
HFYqFK1r3VjbPis1Mu+D0bDJgEEg3g8x96Bd3LWW45xHqT53w+bzWFEh9MEa+7JDIT5ge4OrspMc
KZGBpV2h4kJaFs1F5LbdoqACkiZ8TKKq1FynfgSnuvOaw6Ax2oswcaqHIMIVbp76lXrbaMMqFBWE
q3gy0U5p7XGc6Rh0tUGG5rxLggYLQt/sLpF8x8ct3v6XeaqkJxPSqXNRVyZ/YIbYIrxNsEakhS6K
CKpmZMHD7jSkGmX0uS1yABy60xw6m6tWD44LeaJxW8zI6r68tNwGX0AG45uA2VmwCJ2G3hQJ+8Yy
4uQqaadshdpsgV3NIojUZBM2pVbNI6uP/NnQMBExVLjL+FHUCysYi0Nsi/Ijt9CCs87xh08T/iIL
1D/qAZGe9czKBNT4TG2KcyXCuJqBanjJduktKUGGL45PfJ/G/O5GL20Rz2w7ZJ/TiKRdtHUhuVs1
2YczTGfz+wHa4arXS/0LSufwU2vlNZmI+SSGpQlDjzrHioYPiYHr30xvE92bt4qwgzlCdXaQvlFg
qtttcURKQ7QsIvIMEwrReYlMb91okXZhKYlY91OXfKig82BSNYQG6srYP7XiVvTHvhVqXw0SqxYE
UvuHQd0Ud8h5kxA9C8WrS6AnuZxnlaZICKhkuokpksZOFMdw1mdZ6RPLYAJA4qDqwSIhVZdjwzoy
IOlMD4V11RWKud+qQ6eskQsZZNw0GlrYknCNNeBs5S+dAD8faZmHIt434D0uE9NWFvgFZM6JP6rc
9RGr6NcOKOM2s9KvKr6GBdAgIuhLc+rC8472MD7M6iy7Y5SgfRpwhImWfVuY7gGOMsElLoVYzU8V
HnGVDiI3UxlPzIFUlRvHtDB7B5PyPVAccjdzcFrEqEKL0iXRGx2W82rvdAfl1nILf8v6vrNH7bw1
xvSOUAzMVEIlPWulX5e7te6i9Bd3vtmkxy3GXs3W4SsU4hMZEdh+efoQ5zNy6cZT4qWcdBGbwfhB
6+vyawI7tFgJk7lhKALdWRRFnYenoouq+7IdyuKgTJToPAoKjXmHNgXikPA1hrxzERMrSXGLQGPW
Qbjkomw9kkwqGQbNIsKNoFeLaDirIwxbukQRkA+m2PnSoiu+0tyOgggDUSvHHy9DThQ3VDQzhoyi
ZGxKIMhBWQqT7b6StEGB7/FKhwGXn/rO2G6iqvD26xp9BBZfSml8Tas4aa/IGpvAcfsMrTpNUYq7
qWMWSbZJEttd1pT8GGWmSo5VQd2k7cpUVBHAaIIhj4SuijQasYyqGo0ncJ1RujfkRHnVVRKYU7Yo
VKv61BBecDFo1LhHTtpgT43XVXBHI1PX8wpI1liJOHOJAC+6vJpBmqBJqI1uNdU6anEjucsjPzoM
S139bATOecYdjv0bZvf4UXxuEoiDk3Ls43SEgoPBaNuGxzq2CrNRo3daZrTyi6lT3bVLlpw3Q0at
nJgCMXNn4CbXdwPB8m5p8dwmST/wjBjepVt108JV4mltjVlyIbq6PUA27TBdzikwvoR1Ox3oSEcP
fKOdsPpKRLaP/KzK1glODEuJWq+Jnh4WQzFVxx0ZJRS0CZJsePTD58z3nHaV1sSW4c2F8eFRnGfm
3KmTikwTkhHmRReR4Nkm6T76CJ2VnMc+OS7Durz1K0MfZjZ0k68Jz7YDsyC2rmun/yryFmVH0psu
V6IpN2VkiU3UmM2RlpA1NkBYPINCPH4cvEo9ZKDVkoua5xVmPGGPbwImOTIfJ03ZD7xelvVCS5gV
6MOGArYECu0LSBJeDwza9aWCpWOTJP4CG21xgVNJNC98Yl4WDuL6ai6aANOSsNbIB2CL+WiYWXdb
Nm25tkWb+/8Ivhmu9z/3cDz12+xbFBAV2eMbHzFAE9E3eSiURjg3StN6QLZnuplNFhTEftMhgxRZ
zR8YIJ79Ful3qMgQpqqUaSB3L3UWOjVN2onBU7Nl1Pbv1FmUbdRRb/0bVc2ypXoAGSbKgz8NqNN+
6AK9gjkPeeYiLEU2zpS8DRa5rTgfhExzGIh1gNBAwEOSh3AeRqcyj+ttBMTgK8RBwLsgGqIhJKKT
aRHTNjjCCgcPuIXJQz6zvNHdtHihj9KSYJ6lZjseKdsYimIbSaEanQceY6rmNdL0uF+4uL2S45kg
/93UVYUcoBplrRBjIo1Lr+nE8xp7XxfDL4thOqUI/abuOSTQ5QjBq0WDTB8DDs2p70DLxq9p1rSX
NY0WJvNKrF66QcMSijzZP8SEj9iUuJEulgS8sUvQz0D4xEoNbUFv9CrOIaFU4USFbVZHYaRPSODN
SltYhTFeBlFg+HBMq+DYrEn+mEUCVcKC9CKsMJnlB1LENZ6WiVsvINSPqK0svYzO/aHsGobxkf9p
Cg3/3PB760veVIYASminMxx2gByaUcO3yoz96J7pevPZjoP22mlM7bZWmXIu0METTemlohMEFTZg
URPAMzaEAtcTe7CDgzonsosFxtTVWZZk8QdkVLW+ZEqnfWmdyo1X0ai4awvB24UPLf1S97L6o+fW
QbNBuRZMMzeOCtYMB2huboeAnujcM9ySjRZt3gz3oRIlu5eXfP6Akgz1PgRA4EYVtMZqxSXaMgJK
mfTo0yFsmomF38rDgZJ0zABPNN1bm30CVWgMiHWcTz1c/o0La1fM4yySYTEhCsgZWe0BjKihQiKf
J06pH0KNGKUBL9zHpeV39kmqd9pVlGu9sijRT2uzcsg0AuRJrA3op1HeLdS2DLiRYEnju9m6pzDe
Myabkvu/6KOgJ+GRPPa7TpkSDTVkkD+olsbspLHNgDJZEhpIdrHZAFCaL/LAgfHAvQP7YcCKsQVK
JKUWM9SkRNQmuRJCdHa7tIqWG3IS6XAZtNpwAnMKjgV2TvW1PXTZQbLlYMg8OvgYW24G9GnrmHhb
fT5tuRv6lsfRbTkd7PHwO7h4cD36Zsh5aNMRL8liywcJttyQCc1ti1OS5IyYkj4SSSJJaefqiW/U
7sYkI3LEVhnKib5ln7jwUHJJSMGDBW4KaDyPliUpK4W1Za+EhlWhjlPdcoFURTyULkiehrr/YIQY
2y7/OT063eyPx0en9ff2jecOnbc+7hzkVjMkwl5EOqRJmhJL9+POYfIT2mK5PcBUBsKhd3+aHjl7
0kAfZhMcZvB+KLWvdg4ujeDzLFvAkmDw9Ds7Bwq0tzsHNx5PvC2tf1VCYHBs4+evOnRw78Qz6mpe
s8qcN15MSp8ZEcQkWm/TxJO39JOajN1WiBmz44nbz9ePUreNKKMiXIsG/QR9FL7VCHzmZWvV5wYa
fUgNyChdqizhrop7TeGpKe1Bhwjfa/4NMmkHNp2PUVk36Jdmqn7BBYzW2dOWoWaUWKyh68BkH4YT
86QZnYa2MBmYLpBt0b6WjHQYAk8bFa3TScYqMm+NQFtOeR3QU47ThUIo9RmgWXEKEXRVaspDip02
6SzZgKYoKD56I4WsF2HYNsf6iTm28K+c2lrqUzDtexnmrFUEN4SIZRmsArtzmjR3meXBMuqhg3Yd
kGo+KfVGT7TwoJLJekPZkv+6jduLZfJeKDP4wm0cX7GN5oMZII5bmdenCZL7epnhV8o0P9Mu0hSS
Z0Ocl+vmX2pTUw5sG/oHMY7OIq+s+toYjBR5HEmBCSJzWke0PxMxggx2yvVkGAedW40SRyBr0KvV
tZFPUB2TvLYWfle0x23RV0fxWGnxrINlsqTn1WZVaHXXaqmF+ygb1IMJfu++LqYvxJFBhvS8qj9k
20A2oRFWnIikvAp787gI0nOv75Vl5ufxusGzZD4YHd+DrK2UV/ih1Dt34eaDigRY1z61ac08vsCy
V/Um/QhmQ7cRSFMWAYKjwyHXkyPbHLtNEQf+MsTq7xO2FBb6JkddY7NyJcKefITauUIWl278uL7I
cMifT+Awp3wzHLZ08oGSeqZxW14owORJ7TJea7Gd+WL65gySKc77Wv9lqHxtzcw9PC7s3vsoRs04
TwZfPTJMRSObN2s2WAB3xOsU5oYnEXuUTojV1DJinZyhWgHt9gsCdipSJaKbdshQjmCqfE+NQHM1
Mg+eawU3Y4/N16HS297naCjRL6rDV1HW5UGMWHo+4jq2rzCOO+v8woIiONRzrPFpx3hImyWqbvVy
mygZO9V4Qu5ufjiRTXlqksO7ANsjQQGZChxtqD0zvFzpTwvy05IAmrdjl8oBDqvJpambw5VdedUi
700SiYLEesA5JrmI6v4c0+oBlSUVhyIKc5YP/qVQxCe6DOPE78f2AiqEDaotnLVn4bpTu7l5xGNO
zLMteveYWRbCdXLf6YFblMVjkq87pohzgueJL7cUZTaG03U+hNM6sg2MmZOQhcVPFWiMmnkWj5Bz
W5f5ToUJ0qLqUZRmXfU5IutyrfJszJg4xfsTjSIiw+k+pqEzOj7aFd6X0ZNRzJL3H9Aaky1MPRna
TFKRdy6wgg3mStPXV2JMMsTs3IYuftkLOvFsA6WbtD6MvZZ0vhk5q7o/j8cGE8FuCvcHBI8nUCfr
RQgkMpuoQ2cjiZqLePDvzV7cFaOlblpEY/uZPgEhJkRCObZ2RMr214xoDaonpttqHEMpA4bLCuUr
WQYnpPR0JJzqPurUXuvmuc2KOsTK1cDFXIBfWStBwXjvWY53psVlt8lrNVuoRn84ld6qSLQMYbvh
r2q8AZBiTOlc1Vm8shSYpJxUnaFEN85zqsJNlI/6oseoD3VgqzEXBmw87qV4A7v2szypPrUycYEt
H7CSNzVuctgX43hQZfggIDNZ4uVCVns4+fN/TDUgI81+XA2sHu4fqpvkv+Y3Rdjw36uHqgqbvBqp
A7ImbMb9+//576fiQH7SM7VE0PtBOIP7DIMHdfZzcWDvCbpGjEsNRjm6hhHKS3Hg7kHGhI9iEt1D
B7m1LXtqK509pN3SbxoVE4mXv5cKYP5Jw6RDbIH4rDEJ2MYd238qDeAdmb4bZcsKAx1YYOFgO6w/
htvOnFrropVfQsFcm5BKG9LcDeUeMtzkzQc1JtptHD3rVgy5ir171ji4sAfh+MFj+OvOGVy0R61r
Fc2mLZVRPbfspCY1jnsXMnPbdJBZEvW42jrsGUMSfKRQHQ9bab5Hkk9+puWD+ZD1E7HnQRgJfRY0
vvkBXyH7jPmTUzFgJOnTGY/aQLcJG3dafLHx6hsBTfpBG2PS0yRzxduSWDqF/LRD0yMBq4INjSIk
+g9u++PwjrUw/9r8n/91N/zvO8ayVegHzXa88se/TouH7LKpHh6a45viz7/55o31v7Y/Jrh6cdPc
vPnHcnvHnbcP1XjxULfJ45c8/eav/vDpvr0ai4f/+e+b+zRErFY3VXjXvL6lwUmgPlFU/vjROB2/
Y73+8r5nfIX4Ccpd6FTwmeAwvRgCYbeHxTD3IhwnABZN+6NKZsSF5w9YAbK9R7OglypZ7OEVjHUC
oyzirSAo/16VLMOzXuMr27+Jb2KORsn9rXFCTuSLVenx3Czd+HjC2Qp7Ux3LTxxcE/ucSE/vQIxI
duZxiarHVpvwq1syLFCgEawIpY9WFt0tzlWUjnXYV+SHCyw8PM07Eu1A5irwdTMthl6wAyFJqXC5
zQHINYzKNpPj1FcWzndfXbnPZXLHM7Iq+WTGRrpx/AzQM3TN6EBr8IWNO5/KF6l+OjetYloXjpet
4FWKZSR3aEPu1XmN0AHCgtzLG7mtZ7EwT0nAgUDVYHD/oWpKhiqK097GVApxXfneHHtxmwQedtSZ
M0bppdor3VZ9X2uAxXb51S/VHFEZHluxiCMxI5DWm5ZRBPKzjDwXJo1pj02xCCfHnjMJo1py6ZeL
eVGmLV63rp5fE/5kbiw4wyE5kBRlGSj3Ob2v97GzXYrLwGnHWbHVAUVbTVAt5UEE9k4Hw1YzNG31
Q+5WS9Q+CovYYVEZ5ToD8PlUFp60dRnjeFmmIF2M2c34sJNSpRx49q60R8iUg5Qy+RiAGZu0Iw7y
k7GVPFVb+ZO5lUKRmwHWUQyloKghaSuCSgpcvoSCqbszq45UFVw/NPrpXovapD1W4q7A8H6rxLKl
KAvrp/hQUZKMRCaafffALDRgJCs39GQzpoZH39M29sIa/Xpu4dhAczCY42GZ18l1LnrM1UsnX9iZ
mjyMRd/tR8wYDg3cC+aK0pwbDpwyEoGKg2ly4s+Cp25fi2CwzKyq1a9b0tGsVen3mNQpcNioHTt9
iYuS31CGecOSp9G/B9YOFzACtQOQEmJJUtL/gHl8cofqAEbGGBD4OI1duMRzvtgfQlejIrfyh45Y
sQAT3EY/RmnmAjjk/ZkGXrIfA2/sd20lYFcPwaaPm245+o2xxAsVbB1S3X5BbYtd6iCc68zozvtQ
OaYsrqLZVAg0olN8GJSas1HUETOCgYK9H4rlaEb56Rj01SKzi03UJ8ppQn3n98oN3DPEhGO0xmtF
+0iDeJ7jSUk8h61/CAxTEJ6gVktCRoaruJOQGOs4/l8+ekuDgdIYA0wpYTesRnu6dlQHtlxW35v+
oN8qTbPZ/lVKRjmOqxl5l9ForXp3wAYkLj7KXwia/jxStGugHJxEjKRd2SABK4+0AbJlzGgt0NId
9EZ21PtWdVGK2t+YDO5XmjOqCwYD512QGzQcSQsXQxjHheZMzCbjEyuPTxK9DFZ52N1nBj7BXm4a
+4Xjn7QhrRNzWv3AxNVibk095XJJu3PoDEmy8sKwO3Q0Hn6tRISANYRzY1Wpdp2hVj7nyUD5nurD
fMB4ok1UjyysRn+wy2la9hBKL5pCpZSNAu80x6BiAyh3STqQt8GmyFmwjn+q4yk6B7xkjx7Vj7rX
HVvqsBHyA+TAhZkXcqQ8cBkDjr7xscoACi2KVfmPJspOBr2PDrK2AiPAzmWZAmBsjKAkIlSJ2lmm
xQ5MKvNaaVxpMAODMRDefYXzN86dyUnDHJ8IBy85xNGUySKOPXMPF5SFSd0wj231HJNO6Pqd6q8i
TdyP0hPRCEPjKi1b5SKt3QR/kdpc4+RwndVMk9YoBrh8luETXuCVmy7B+Zq8ii92yWQcEUIxT5H8
Qr3yT6LOPIugIa3R0Oo4l4wye1p6U3nWZB1gwFEuq5Sp2OB/QbCx0lCgLKopGEy0wIM9D2urXuRk
ea89UzkftaTftGD8GKb1wZWRAhHqyBkOMuqlbMYKqcGOywSdqaXOfbfuiOnm0idmFWf/gCHQMyaH
4unHVcpF2D1UP5Yq4uX7UrPLmC4GPsB5Qv7Pl1EQokNJdXEdjd3TZEHiPU+AnrVHXUMR76I4RYUF
avBSqiB9hL0LoMeoyMAPEazvNyg3mi6r8lejIPk1WA/QBpi02ZJ//hbQGwyURwxeiCnO1Eu2huZD
moXOsRFF4YdE4MI563R1UPcL4cMmziD6InTvFPWTn3qEG6BmdhZGg2nLfoSzTDxnz8P8Z9Dt6krS
WQ/0QYz1HM2M35+6ucWIAN4ye0bfhcUdFD/dXumd42C+2VrDF0YGw2VjWqYnZyBqsIj9nHjDElc4
KJGmuVCdILdwxo4Lolisgj4WKXh/PJT6GB4MijLBozN87M24900ImAxy5i2ATEGmfdhAyI2twJ0V
ZDSMiLCi8LMH1nADVy9VgXDUzpmLkUnfKtD1FJAkgLQ/J7zWxofEl8KiMPPaD9FQEQHY9IpezGxy
jf19K0qaeUlarjLLar9VV0hURx7aLu2OEh9e3Qz7ZYFjee56Nzr0JKKW9Z4tO+ipd2RUpXLR2m17
WxZZDB3V9DT9xPXLmp3JjrMWEMNuzsLeIwMCj17IvIYVeMdNY2bZmql01swGsM2jvnIxzdPxLICx
N8YC8SVpvjkRqhCKF4GBMdS8s/SAaAfyAjfABHYzr5glHI2GOt3ReuGqgrqltGcejjD25zHs3XFm
dGVzYgRd+6GK9BqiqY0L1Qw9S2xd5LBc15mOGn6JHTJivLhLi4cwRg0DD5wB1MyD9hyvVbuMsDpU
dQsTL9zwSy/p5oy9i69B43UUp6ZxbbVTiNdrQd+HzarRK8QtuMOnTHOdlkWKHLR/0PpE//3j9ek6
v3143Xg9L2q86bGF0nS4e8yYARM0kxnrC5QA3U+YDlYpwkDJCQnoZVXScFR1GC+4lPTYXkCxe1mV
pJe5HDCwmG2n2ubvyTuZSvxpVaJxoomTf4nUd//ZURX3hCxvEmc/FVD8Z23VJbd5FFqLpkwS1gSL
SFHHbmA++FQ0q2kQlYDwQjjKYgq8HI+kBgjPT4JZGCvOhSQ1VetYFVJpAvGMp2wksqq12o+FML54
ZlOfmSH5nT1JWcwiWCfZQB3EabBiTxEgUnQYeuARPiyG7raoR//Gi8pObAIV4+BVSzIY4VeJalw3
nm4VW5jVYusHf5/VQ40cbqT7OICS1zSzposL7SRFq6bOilGp920Y/fgssJ5iMdIWyb5ht2F3IjoP
mwOrscRDloEau5HjHNskQN6oZNXWC3V0m34Dj0T600WJF80QxVbp3LOVRizsvE3Qy5XtuVlmjFSE
5TeXes1iPwsKH4p6g/ESpqKTH6dL4ZtjfoUSZToyO8/ZR+FYH4Uq0lI4ZAY8oJQcU2a9znyYlGld
whMOP3bKkGB0i6HdPl+h39btyAQ2HyavmkW9lorFZKsDKbZVZXtzZhLisMSmAWtZE2I90xAbrZ5O
WAbqmsZaxpM1fYDDacv0nBbsdsSFNsxqe01uRouNlz8sddKbYRs2DoZZBZzFDoAetfusRIO0DnKR
nROCiz1o11mbDj7TcdBo2QETgvGgL/Rw4Tf2KGNpqvgqmSA9uHk1zGvHLvYTD+f3MmQopSajtlCi
6ivWr9Gh7cK7npJci499GPwJRaHwUbeTz6JtFN9hkcUJJ1TEISjbUJ13BXy4G73Ke9zwet2HwTpN
hHKx80z1yIQmiYmQ/sLCqBcLzycc+rIbYL3CWpsKZ14otv8ZPxS9WOrcOD7hYQRsXdWpZewbpBqx
ARmVuY4mNw/phhVuexUBtLmcIKoJxk9Wd4AoKb/r8duysIcBnZ0xALIv8WzRD2o9cOaJz73AUDow
ryrFS4/60ZgwNEQc8BE4vksXbGnmYW5iKWj1hvkh9RXnzmbFP03DMb2AJjnue5pVnuGtj3FB7vf+
SvJ5N7imDTe6H2J6HIw6NNEIjiMVcB6an8K80u8SX+kBPvACpHWqSF4cqmKROJ27Mogs+uy6fdrA
Y+yLs6Fx4g8ih8ueTGa2dLPaPMvjDGesyjNoKXuhJ7fogHCBhY86HbRGhrTFDSecZcas7m/UUfFn
tZOM/lkY4gG2gPV0OGAHfJSEXTItR72sPvt00feOIkJJX1NhC0PZHVG0YvfL5R1W2Dq3YjNBNfWZ
S/kM5VPNhuSVmUaGQXrg35CrW3oQIwX5HQod5YldNZE/j9AbXU8xZm9nWuXbZ8aQXxkK7M9lImOb
wTysY2+b5ezprX5ebhOezb7OtQVcMf2jb4fjhOKUYOjWwbcM3tfQf0jiwHVWiRuq08LATnARZj35
aT5CbjTgNTnVrNBdPS9pu2cpdohUZmrckVop86+7ycOUiYiqmsBrX/2Yysjs7RYjcUTQQJD+0c8z
gMTXgOSf/vmv/z9xy6ftU5qD/XjPPbmpIeL3Pybiy7c/7r5sstDsQcyxNYcNtqXbP475beIh8Q1h
sg5++Uipf+4KCCDhOcJdASUjaY5yy34C8sUefYXkhxEbaematDb5naZA8gVeNwVs4yh0BEpRHf8z
QFGqhtdT/hChIOau5hJxXj1ndmbctlqUfeitsDor2to9wniwUQ9oa7D27xSYj/Mxrwe4mujM9GVh
RczNlRJf1DhmAWMOh5Abl0PN9lDV982o7xMsDg4JE1qoB7ab+J/bys72RVFjkeDUqQ1htseDfL9z
G+EeZrnk1CZbfm0mBFxbw8Dor2YegKxHsnFbf3K+TMRTjHCDC9i6W+JuuiXxovaBIyatBUA0WDWd
+RQJHLaVbVKqIUNTmxx0FU2saBmIylhVbIMGdU4Sor+sZOxqIANYM2LdbvCjIJXVkwGtQLHqKi10
/8Ha5rcmMsq1Y4O/dovBuK4qjzSMwGlO+HgrIZNLxsAG20hYFaPJ01QlJ1YJtX7ZGJ12olltfdLr
VrI0nFxfM+rFaJU45UM8zDzSuxD3HOcuotKFF1YYiaZKwW+0WuXMfai5SytI+hOzKTKxHCeNcbIg
yaEEGdWCE5IWqltaMbJug6wfeybfI+MPT5CGa8pg3EFG5NpMO9KZ7pLJuIxrMujXQZy72kzJRueL
r+bVVaB2ZboOofQlS2ebOFRZMn2oJuTyK1mhYI8UGX4MYFT3/mLIsXlYqaaetJtibEuQ7dAyMuxC
BWFHmiPIeqHJst2FqMlD8tuBaCRzMuCx1U3rL7GepvpgHC/nPjZAZHgo8E/vAB2xz4ISr3XWbQGj
L/yghIHVl4SvDLBNTE8COoYw2xMPComDIXkaEeoHIEmp1XkqU3dYLqeoQtJ7+P+jgkGAjrSkEpGQ
NsNqeGtOmEsCoenZKi3HDH63aCtt3WKswc0cOxh0zWG6hNFNEJPrvJhi12quBz0ir8LLXOIxXN13
z7mjI+ek01ulPxONG4pDryk77VLphFuvCs2NPv/+Mvz/ajD0tBfIGdI3k6HHreBpbnSWh1lzlf9n
v/S8eMmv+faD3oya7vI2a+Tgyifs603HI1jV3izW20/ajrl+9glktIdNe88Ui0WakRB2JYL/yBcf
mOSZ//Rj+LpyBMU9+vhT9bEhe3WGvv3Tv52v/We/8+YAfjhte9612Ch+5UT86XP+OBH2npxjqYa2
5ZjJo35zIqSvAfoKlXbx8QVaxfe9vxNBzsduJ8JiYG7S/wLLPb74wDd3hAU2x2IlVXHy9Xji3+GJ
+PME9gePxg/vCHPPlawCAw754wtY8c2JANAke4Ucsnd+R/B37/RouHuAIZD/pa/c9sUlf3UiQFkw
z5Jz5+dfeKePhkSYdzoR8kh1S3JS3j4T8gRBZJV16+Pr3S0OlM2qJnHvnY7f3gM+x4Fqy0uQR8oH
vroRKOst7FtM0ODH13vdLEDudjsRQIH0NvCJTHlieb1dGvgxIwceGP1xMX5/i6O566Ng0o2xJqDi
ebrlgVDf3AqcAKhS4nkTebe3wq7PhEXdwCALRerTieDMvjkRmuCJkByex9e7OxH83SB5u26WLI0U
iVuT8NeHL+F0aEfwl+j2t6/3tjfIw5dh7LstCBaGkTgLMMd8c/Udbg6AMfwtnq7+Y7n+DteDXatG
ymdZMeIy/3Skb3dIscfIhKdEey4R3t0O+dRHmL/YUP2waiTuSD5Qmng+EW+LJWQsCFswzn3+8eOd
9/7uiG/cOH63fOZImZNhrfq8Q7y9I9gjhYEKyBBP5fVjlfr+ToTkAO9YNbE50Ca8LIFvt0prD5tZ
6dVMd7l9vdsTsWuLDYIrS0d2yqcj5cy+2iqtPTZSx9CfSqptUcWJf393hAwq2+mOwKLGIUSTnM+3
IAPbhUFEEDX002b5Xntr6fa92xlQ6Rkpibbiulf3AGcGzho0Phk8/j4v/q69AwUjAnioihz89vW2
ZICmDXnbtt7d8RMfg9p/16Nn2We0g0G29M1+deHFnqR66TrU9KfXe7v+L/YHO9349MiCOB2ZxfP4
etsukIkIW46wHsh029djXfYO18BdK2bJzUHJAzHv6Ui54d/cD/AJmYm8tFWPa+77OxH6rrsiJwLF
Elui/nY7tCmZyZ/HZe/p9V7PgLT43emZYNGXHTL8zO+iKSaBnwJM+rmDlBzSd7k1yAu424mgidZZ
BckAf3wo3j4TnCeLzZEe672dAJYzwKDHLeuRSPEy1fp2FvXD1snZcwxbIPt7vtIc56slAcMZGzdI
JIB/rBjv8j74xmP7d1snF36E/ohKvDp+a4+qQFOhU7zzBeEbc6HfP37S1mkcSZF6fL2tFZhZwj/A
SPG9lsfGruUxRaCOiM9hIXh6vXkSpIEGtFHskp7Oz3s9EbK/2WlFFHvYN8HcfZk4vG2YzD3Yu/QR
sBgeX+8OTXkRde50GhwGL8zgthSqVysCQ2nbRELxbpslKRHZ6cAJ4qE0YJbwdKNL/sGrE2DLnB6G
tOL55++1XJbZPTudCIB00FMNStzznOHNibCkYkYnjugZX/2NB+EXauoX1ss8CJP7Ld8lfKhfqan/
8hee2S7ffsATzWNrBgCd5c0vSqX140c/bPXb8t//elM/bOGhVz98hou23/P09qcD/Par33zX81E9
/5+bEPeC6i7AswuyzPj0Z57cpLBm/kK//fK3fqMSf7kHfvrpf2G/t+PHH/5Vmuyun39z32bfIYi+
AAh/XK7/7PzMMQ2o/2urTvueS+HTPGfXb5nlWHt8//O347JdP//f2U16+71YX7mWbWf1u37DLyWh
7Xixf6bB2fGjf8Xxe8evuMQwoPnORX4aBslVe9eL8Csiyh2P4gwW28NN++29+nwYYEy7HsZfW7vt
eBCn2f2PL4QsqHc9gl/INtrxEH6NG7/jl/xCfOiO33CY++EP7yVpV7/rlTh8uL39yTcAJ+38DTdY
QH5vD3pmi/4ND/bhzfe2h+cvoPDd9SAOQv+nQou/4aneT3/yzNFq7XoI6zy9ffjhvSSnSLt+w2+b
TO34cCyz1v/xSmvSf+x6RLihND9+OqQgZudv+MlKK6fdO3/+bZ6NPzmEv+EBXzwkzXdKzKenTyap
7noQs4es/cmt+zc837Ob8SGpf3IUf8MDPrtp74KfXIq/4Rn/d4wabP82T3/4nFt/w3P+7/ub9Ger
oZyX7nrJ/30b/vhqSF79z7/ge23mC33h2+bzWSbxvbe97azlb9wlDzfVv/4vAAAA//8=</cx:binary>
              </cx:geoCache>
            </cx:geography>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svg"/><Relationship Id="rId12" Type="http://schemas.microsoft.com/office/2014/relationships/chartEx" Target="../charts/chartEx1.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chart" Target="../charts/chart3.xml"/><Relationship Id="rId5" Type="http://schemas.openxmlformats.org/officeDocument/2006/relationships/chart" Target="../charts/chart1.xml"/><Relationship Id="rId10" Type="http://schemas.openxmlformats.org/officeDocument/2006/relationships/chart" Target="../charts/chart2.xml"/><Relationship Id="rId4" Type="http://schemas.openxmlformats.org/officeDocument/2006/relationships/image" Target="../media/image4.svg"/><Relationship Id="rId9" Type="http://schemas.openxmlformats.org/officeDocument/2006/relationships/image" Target="../media/image8.svg"/></Relationships>
</file>

<file path=xl/drawings/drawing1.xml><?xml version="1.0" encoding="utf-8"?>
<xdr:wsDr xmlns:xdr="http://schemas.openxmlformats.org/drawingml/2006/spreadsheetDrawing" xmlns:a="http://schemas.openxmlformats.org/drawingml/2006/main">
  <xdr:twoCellAnchor>
    <xdr:from>
      <xdr:col>47</xdr:col>
      <xdr:colOff>198602</xdr:colOff>
      <xdr:row>8</xdr:row>
      <xdr:rowOff>125114</xdr:rowOff>
    </xdr:from>
    <xdr:to>
      <xdr:col>63</xdr:col>
      <xdr:colOff>252789</xdr:colOff>
      <xdr:row>17</xdr:row>
      <xdr:rowOff>56534</xdr:rowOff>
    </xdr:to>
    <xdr:sp macro="" textlink="">
      <xdr:nvSpPr>
        <xdr:cNvPr id="28" name="Rectangle: Rounded Corners 27">
          <a:extLst>
            <a:ext uri="{FF2B5EF4-FFF2-40B4-BE49-F238E27FC236}">
              <a16:creationId xmlns:a16="http://schemas.microsoft.com/office/drawing/2014/main" id="{9189109F-3753-5CED-D3AC-D05C528F7A2A}"/>
            </a:ext>
          </a:extLst>
        </xdr:cNvPr>
        <xdr:cNvSpPr/>
      </xdr:nvSpPr>
      <xdr:spPr>
        <a:xfrm>
          <a:off x="29048769" y="1649114"/>
          <a:ext cx="9875520" cy="1645920"/>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49</xdr:col>
      <xdr:colOff>460121</xdr:colOff>
      <xdr:row>1</xdr:row>
      <xdr:rowOff>31748</xdr:rowOff>
    </xdr:from>
    <xdr:to>
      <xdr:col>61</xdr:col>
      <xdr:colOff>409321</xdr:colOff>
      <xdr:row>8</xdr:row>
      <xdr:rowOff>69848</xdr:rowOff>
    </xdr:to>
    <xdr:sp macro="[0]!ClearCurrentSlicers" textlink="">
      <xdr:nvSpPr>
        <xdr:cNvPr id="29" name="Rectangle: Rounded Corners 28">
          <a:extLst>
            <a:ext uri="{FF2B5EF4-FFF2-40B4-BE49-F238E27FC236}">
              <a16:creationId xmlns:a16="http://schemas.microsoft.com/office/drawing/2014/main" id="{AB5D8BCA-8FD1-8092-70C5-AA095EED749C}"/>
            </a:ext>
          </a:extLst>
        </xdr:cNvPr>
        <xdr:cNvSpPr/>
      </xdr:nvSpPr>
      <xdr:spPr>
        <a:xfrm>
          <a:off x="30537954" y="222248"/>
          <a:ext cx="7315200" cy="1371600"/>
        </a:xfrm>
        <a:prstGeom prst="roundRect">
          <a:avLst>
            <a:gd name="adj" fmla="val 32670"/>
          </a:avLst>
        </a:prstGeom>
        <a:solidFill>
          <a:schemeClr val="accent6">
            <a:lumMod val="60000"/>
            <a:lumOff val="4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CLEAR</a:t>
          </a:r>
          <a:r>
            <a:rPr lang="en-US" sz="1800" b="1" baseline="0">
              <a:solidFill>
                <a:schemeClr val="tx1"/>
              </a:solidFill>
            </a:rPr>
            <a:t> FILTER</a:t>
          </a:r>
          <a:endParaRPr lang="en-US" sz="1800" b="1">
            <a:solidFill>
              <a:schemeClr val="tx1"/>
            </a:solidFill>
          </a:endParaRPr>
        </a:p>
      </xdr:txBody>
    </xdr:sp>
    <xdr:clientData/>
  </xdr:twoCellAnchor>
  <xdr:twoCellAnchor>
    <xdr:from>
      <xdr:col>0</xdr:col>
      <xdr:colOff>326570</xdr:colOff>
      <xdr:row>19</xdr:row>
      <xdr:rowOff>110273</xdr:rowOff>
    </xdr:from>
    <xdr:to>
      <xdr:col>20</xdr:col>
      <xdr:colOff>577183</xdr:colOff>
      <xdr:row>49</xdr:row>
      <xdr:rowOff>64553</xdr:rowOff>
    </xdr:to>
    <xdr:grpSp>
      <xdr:nvGrpSpPr>
        <xdr:cNvPr id="44" name="Group 43">
          <a:extLst>
            <a:ext uri="{FF2B5EF4-FFF2-40B4-BE49-F238E27FC236}">
              <a16:creationId xmlns:a16="http://schemas.microsoft.com/office/drawing/2014/main" id="{5790882A-9024-1BD7-8127-8A0D8E5DD1BA}"/>
            </a:ext>
          </a:extLst>
        </xdr:cNvPr>
        <xdr:cNvGrpSpPr/>
      </xdr:nvGrpSpPr>
      <xdr:grpSpPr>
        <a:xfrm>
          <a:off x="326570" y="3729773"/>
          <a:ext cx="12527280" cy="5669280"/>
          <a:chOff x="154491" y="4049115"/>
          <a:chExt cx="11575408" cy="3939421"/>
        </a:xfrm>
      </xdr:grpSpPr>
      <xdr:sp macro="" textlink="">
        <xdr:nvSpPr>
          <xdr:cNvPr id="32" name="Rectangle: Rounded Corners 31">
            <a:extLst>
              <a:ext uri="{FF2B5EF4-FFF2-40B4-BE49-F238E27FC236}">
                <a16:creationId xmlns:a16="http://schemas.microsoft.com/office/drawing/2014/main" id="{4DD7B399-B50A-CF3E-9D56-8233489CA7ED}"/>
              </a:ext>
            </a:extLst>
          </xdr:cNvPr>
          <xdr:cNvSpPr/>
        </xdr:nvSpPr>
        <xdr:spPr>
          <a:xfrm>
            <a:off x="189971" y="4055946"/>
            <a:ext cx="11539118" cy="3932590"/>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43" name="Group 42">
            <a:extLst>
              <a:ext uri="{FF2B5EF4-FFF2-40B4-BE49-F238E27FC236}">
                <a16:creationId xmlns:a16="http://schemas.microsoft.com/office/drawing/2014/main" id="{3814BF76-146A-46BD-BE56-D10F4E14960D}"/>
              </a:ext>
            </a:extLst>
          </xdr:cNvPr>
          <xdr:cNvGrpSpPr/>
        </xdr:nvGrpSpPr>
        <xdr:grpSpPr>
          <a:xfrm>
            <a:off x="154491" y="4049115"/>
            <a:ext cx="11575408" cy="1053214"/>
            <a:chOff x="154491" y="4049115"/>
            <a:chExt cx="11575408" cy="1053214"/>
          </a:xfrm>
        </xdr:grpSpPr>
        <xdr:grpSp>
          <xdr:nvGrpSpPr>
            <xdr:cNvPr id="41" name="Group 40">
              <a:extLst>
                <a:ext uri="{FF2B5EF4-FFF2-40B4-BE49-F238E27FC236}">
                  <a16:creationId xmlns:a16="http://schemas.microsoft.com/office/drawing/2014/main" id="{994DB94B-A56E-B2A0-8F4C-C0FD3ED8778B}"/>
                </a:ext>
              </a:extLst>
            </xdr:cNvPr>
            <xdr:cNvGrpSpPr/>
          </xdr:nvGrpSpPr>
          <xdr:grpSpPr>
            <a:xfrm>
              <a:off x="154491" y="4049115"/>
              <a:ext cx="11575408" cy="1053214"/>
              <a:chOff x="9227034" y="5765398"/>
              <a:chExt cx="8824221" cy="1028093"/>
            </a:xfrm>
          </xdr:grpSpPr>
          <xdr:sp macro="" textlink="">
            <xdr:nvSpPr>
              <xdr:cNvPr id="39" name="Rectangle 38">
                <a:extLst>
                  <a:ext uri="{FF2B5EF4-FFF2-40B4-BE49-F238E27FC236}">
                    <a16:creationId xmlns:a16="http://schemas.microsoft.com/office/drawing/2014/main" id="{9E3778DD-3D3E-BBE4-F7FB-004F11CA440F}"/>
                  </a:ext>
                </a:extLst>
              </xdr:cNvPr>
              <xdr:cNvSpPr/>
            </xdr:nvSpPr>
            <xdr:spPr>
              <a:xfrm>
                <a:off x="9242266" y="6168572"/>
                <a:ext cx="8808989" cy="624919"/>
              </a:xfrm>
              <a:prstGeom prst="rect">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40" name="Rectangle: Rounded Corners 39">
                <a:extLst>
                  <a:ext uri="{FF2B5EF4-FFF2-40B4-BE49-F238E27FC236}">
                    <a16:creationId xmlns:a16="http://schemas.microsoft.com/office/drawing/2014/main" id="{64F95035-9154-9567-7D0C-4C0D819D4658}"/>
                  </a:ext>
                </a:extLst>
              </xdr:cNvPr>
              <xdr:cNvSpPr/>
            </xdr:nvSpPr>
            <xdr:spPr>
              <a:xfrm>
                <a:off x="9227034" y="5765398"/>
                <a:ext cx="8774391" cy="947460"/>
              </a:xfrm>
              <a:prstGeom prst="roundRect">
                <a:avLst>
                  <a:gd name="adj" fmla="val 48582"/>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42" name="TextBox 41">
              <a:extLst>
                <a:ext uri="{FF2B5EF4-FFF2-40B4-BE49-F238E27FC236}">
                  <a16:creationId xmlns:a16="http://schemas.microsoft.com/office/drawing/2014/main" id="{5024AE07-E61F-884B-6DC6-E70AD46EAD91}"/>
                </a:ext>
              </a:extLst>
            </xdr:cNvPr>
            <xdr:cNvSpPr txBox="1"/>
          </xdr:nvSpPr>
          <xdr:spPr>
            <a:xfrm>
              <a:off x="437756" y="4370878"/>
              <a:ext cx="2716039" cy="587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600" b="1">
                  <a:solidFill>
                    <a:schemeClr val="bg1"/>
                  </a:solidFill>
                </a:rPr>
                <a:t>Sales Trend</a:t>
              </a:r>
            </a:p>
          </xdr:txBody>
        </xdr:sp>
      </xdr:grpSp>
    </xdr:grpSp>
    <xdr:clientData/>
  </xdr:twoCellAnchor>
  <xdr:twoCellAnchor>
    <xdr:from>
      <xdr:col>0</xdr:col>
      <xdr:colOff>326570</xdr:colOff>
      <xdr:row>50</xdr:row>
      <xdr:rowOff>74177</xdr:rowOff>
    </xdr:from>
    <xdr:to>
      <xdr:col>21</xdr:col>
      <xdr:colOff>54790</xdr:colOff>
      <xdr:row>86</xdr:row>
      <xdr:rowOff>165617</xdr:rowOff>
    </xdr:to>
    <xdr:grpSp>
      <xdr:nvGrpSpPr>
        <xdr:cNvPr id="45" name="Group 44">
          <a:extLst>
            <a:ext uri="{FF2B5EF4-FFF2-40B4-BE49-F238E27FC236}">
              <a16:creationId xmlns:a16="http://schemas.microsoft.com/office/drawing/2014/main" id="{B6C7855C-9326-8A97-AE72-52ED2889D0EB}"/>
            </a:ext>
          </a:extLst>
        </xdr:cNvPr>
        <xdr:cNvGrpSpPr/>
      </xdr:nvGrpSpPr>
      <xdr:grpSpPr>
        <a:xfrm>
          <a:off x="326570" y="9599177"/>
          <a:ext cx="12618720" cy="6949440"/>
          <a:chOff x="189971" y="4049115"/>
          <a:chExt cx="11539929" cy="3939421"/>
        </a:xfrm>
      </xdr:grpSpPr>
      <xdr:sp macro="" textlink="">
        <xdr:nvSpPr>
          <xdr:cNvPr id="46" name="Rectangle: Rounded Corners 45">
            <a:extLst>
              <a:ext uri="{FF2B5EF4-FFF2-40B4-BE49-F238E27FC236}">
                <a16:creationId xmlns:a16="http://schemas.microsoft.com/office/drawing/2014/main" id="{A1C7223C-52F3-CB8F-E91B-0763FA70449B}"/>
              </a:ext>
            </a:extLst>
          </xdr:cNvPr>
          <xdr:cNvSpPr/>
        </xdr:nvSpPr>
        <xdr:spPr>
          <a:xfrm>
            <a:off x="189971" y="4055946"/>
            <a:ext cx="11539118" cy="3932590"/>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47" name="Group 46">
            <a:extLst>
              <a:ext uri="{FF2B5EF4-FFF2-40B4-BE49-F238E27FC236}">
                <a16:creationId xmlns:a16="http://schemas.microsoft.com/office/drawing/2014/main" id="{1FC757D3-2D7C-F2AF-F0BA-DA587D39951C}"/>
              </a:ext>
            </a:extLst>
          </xdr:cNvPr>
          <xdr:cNvGrpSpPr/>
        </xdr:nvGrpSpPr>
        <xdr:grpSpPr>
          <a:xfrm>
            <a:off x="201586" y="4049115"/>
            <a:ext cx="11528314" cy="1053214"/>
            <a:chOff x="201586" y="4049115"/>
            <a:chExt cx="11528314" cy="1053214"/>
          </a:xfrm>
        </xdr:grpSpPr>
        <xdr:grpSp>
          <xdr:nvGrpSpPr>
            <xdr:cNvPr id="48" name="Group 47">
              <a:extLst>
                <a:ext uri="{FF2B5EF4-FFF2-40B4-BE49-F238E27FC236}">
                  <a16:creationId xmlns:a16="http://schemas.microsoft.com/office/drawing/2014/main" id="{41A6C964-32BD-4FE2-120B-483E0BE49BDB}"/>
                </a:ext>
              </a:extLst>
            </xdr:cNvPr>
            <xdr:cNvGrpSpPr/>
          </xdr:nvGrpSpPr>
          <xdr:grpSpPr>
            <a:xfrm>
              <a:off x="201586" y="4049115"/>
              <a:ext cx="11528314" cy="1053214"/>
              <a:chOff x="9262935" y="5765398"/>
              <a:chExt cx="8788320" cy="1028093"/>
            </a:xfrm>
          </xdr:grpSpPr>
          <xdr:sp macro="" textlink="">
            <xdr:nvSpPr>
              <xdr:cNvPr id="50" name="Rectangle 49">
                <a:extLst>
                  <a:ext uri="{FF2B5EF4-FFF2-40B4-BE49-F238E27FC236}">
                    <a16:creationId xmlns:a16="http://schemas.microsoft.com/office/drawing/2014/main" id="{1178C607-739A-00B6-D23B-6C665E3B1B21}"/>
                  </a:ext>
                </a:extLst>
              </xdr:cNvPr>
              <xdr:cNvSpPr/>
            </xdr:nvSpPr>
            <xdr:spPr>
              <a:xfrm>
                <a:off x="9273015" y="6168572"/>
                <a:ext cx="8778240" cy="624919"/>
              </a:xfrm>
              <a:prstGeom prst="rect">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1" name="Rectangle: Rounded Corners 50">
                <a:extLst>
                  <a:ext uri="{FF2B5EF4-FFF2-40B4-BE49-F238E27FC236}">
                    <a16:creationId xmlns:a16="http://schemas.microsoft.com/office/drawing/2014/main" id="{AB99D4FF-F971-C815-A97B-F4D713FF3BBD}"/>
                  </a:ext>
                </a:extLst>
              </xdr:cNvPr>
              <xdr:cNvSpPr/>
            </xdr:nvSpPr>
            <xdr:spPr>
              <a:xfrm>
                <a:off x="9262935" y="5765398"/>
                <a:ext cx="8778240" cy="947460"/>
              </a:xfrm>
              <a:prstGeom prst="roundRect">
                <a:avLst>
                  <a:gd name="adj" fmla="val 48582"/>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49" name="TextBox 48">
              <a:extLst>
                <a:ext uri="{FF2B5EF4-FFF2-40B4-BE49-F238E27FC236}">
                  <a16:creationId xmlns:a16="http://schemas.microsoft.com/office/drawing/2014/main" id="{19362AAB-D95B-345B-1D8D-35949F0FFA12}"/>
                </a:ext>
              </a:extLst>
            </xdr:cNvPr>
            <xdr:cNvSpPr txBox="1"/>
          </xdr:nvSpPr>
          <xdr:spPr>
            <a:xfrm>
              <a:off x="437755" y="4370878"/>
              <a:ext cx="3319105" cy="587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600" b="1">
                  <a:solidFill>
                    <a:schemeClr val="bg1"/>
                  </a:solidFill>
                </a:rPr>
                <a:t>Top</a:t>
              </a:r>
              <a:r>
                <a:rPr lang="en-US" sz="3600" b="1" baseline="0">
                  <a:solidFill>
                    <a:schemeClr val="bg1"/>
                  </a:solidFill>
                </a:rPr>
                <a:t> Products</a:t>
              </a:r>
              <a:endParaRPr lang="en-US" sz="3600" b="1">
                <a:solidFill>
                  <a:schemeClr val="bg1"/>
                </a:solidFill>
              </a:endParaRPr>
            </a:p>
          </xdr:txBody>
        </xdr:sp>
      </xdr:grpSp>
    </xdr:grpSp>
    <xdr:clientData/>
  </xdr:twoCellAnchor>
  <xdr:twoCellAnchor>
    <xdr:from>
      <xdr:col>22</xdr:col>
      <xdr:colOff>239952</xdr:colOff>
      <xdr:row>19</xdr:row>
      <xdr:rowOff>120104</xdr:rowOff>
    </xdr:from>
    <xdr:to>
      <xdr:col>37</xdr:col>
      <xdr:colOff>486834</xdr:colOff>
      <xdr:row>49</xdr:row>
      <xdr:rowOff>64553</xdr:rowOff>
    </xdr:to>
    <xdr:sp macro="" textlink="">
      <xdr:nvSpPr>
        <xdr:cNvPr id="110" name="Rectangle: Rounded Corners 52">
          <a:extLst>
            <a:ext uri="{FF2B5EF4-FFF2-40B4-BE49-F238E27FC236}">
              <a16:creationId xmlns:a16="http://schemas.microsoft.com/office/drawing/2014/main" id="{CB3F21E6-CA9E-ED4E-2395-F7C3764DDC39}"/>
            </a:ext>
          </a:extLst>
        </xdr:cNvPr>
        <xdr:cNvSpPr/>
      </xdr:nvSpPr>
      <xdr:spPr>
        <a:xfrm>
          <a:off x="13744285" y="3739604"/>
          <a:ext cx="9454382" cy="5659449"/>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22</xdr:col>
      <xdr:colOff>232834</xdr:colOff>
      <xdr:row>23</xdr:row>
      <xdr:rowOff>154330</xdr:rowOff>
    </xdr:from>
    <xdr:to>
      <xdr:col>37</xdr:col>
      <xdr:colOff>480230</xdr:colOff>
      <xdr:row>28</xdr:row>
      <xdr:rowOff>116230</xdr:rowOff>
    </xdr:to>
    <xdr:sp macro="" textlink="">
      <xdr:nvSpPr>
        <xdr:cNvPr id="124" name="Rectangle 56">
          <a:extLst>
            <a:ext uri="{FF2B5EF4-FFF2-40B4-BE49-F238E27FC236}">
              <a16:creationId xmlns:a16="http://schemas.microsoft.com/office/drawing/2014/main" id="{FDA465AE-208B-B43B-8F9A-5139F0B8F9D9}"/>
            </a:ext>
          </a:extLst>
        </xdr:cNvPr>
        <xdr:cNvSpPr/>
      </xdr:nvSpPr>
      <xdr:spPr>
        <a:xfrm>
          <a:off x="13737167" y="4535830"/>
          <a:ext cx="9454896" cy="914400"/>
        </a:xfrm>
        <a:prstGeom prst="rect">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22</xdr:col>
      <xdr:colOff>227603</xdr:colOff>
      <xdr:row>19</xdr:row>
      <xdr:rowOff>84666</xdr:rowOff>
    </xdr:from>
    <xdr:to>
      <xdr:col>37</xdr:col>
      <xdr:colOff>447567</xdr:colOff>
      <xdr:row>28</xdr:row>
      <xdr:rowOff>16086</xdr:rowOff>
    </xdr:to>
    <xdr:sp macro="" textlink="">
      <xdr:nvSpPr>
        <xdr:cNvPr id="125" name="Rectangle: Rounded Corners 57">
          <a:extLst>
            <a:ext uri="{FF2B5EF4-FFF2-40B4-BE49-F238E27FC236}">
              <a16:creationId xmlns:a16="http://schemas.microsoft.com/office/drawing/2014/main" id="{A819D526-62F7-77A6-E799-990BE6EB531A}"/>
            </a:ext>
          </a:extLst>
        </xdr:cNvPr>
        <xdr:cNvSpPr/>
      </xdr:nvSpPr>
      <xdr:spPr>
        <a:xfrm>
          <a:off x="13731936" y="3704166"/>
          <a:ext cx="9427464" cy="1645920"/>
        </a:xfrm>
        <a:prstGeom prst="roundRect">
          <a:avLst>
            <a:gd name="adj" fmla="val 50000"/>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275167</xdr:colOff>
      <xdr:row>21</xdr:row>
      <xdr:rowOff>175275</xdr:rowOff>
    </xdr:from>
    <xdr:to>
      <xdr:col>29</xdr:col>
      <xdr:colOff>169333</xdr:colOff>
      <xdr:row>26</xdr:row>
      <xdr:rowOff>127000</xdr:rowOff>
    </xdr:to>
    <xdr:sp macro="" textlink="">
      <xdr:nvSpPr>
        <xdr:cNvPr id="126" name="TextBox 55">
          <a:extLst>
            <a:ext uri="{FF2B5EF4-FFF2-40B4-BE49-F238E27FC236}">
              <a16:creationId xmlns:a16="http://schemas.microsoft.com/office/drawing/2014/main" id="{6FF16ACC-3F4B-009A-2C53-C230DD43020A}"/>
            </a:ext>
          </a:extLst>
        </xdr:cNvPr>
        <xdr:cNvSpPr txBox="1"/>
      </xdr:nvSpPr>
      <xdr:spPr>
        <a:xfrm>
          <a:off x="14393334" y="4175775"/>
          <a:ext cx="3577166" cy="904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600" b="1">
              <a:solidFill>
                <a:schemeClr val="bg1"/>
              </a:solidFill>
            </a:rPr>
            <a:t>Sales By</a:t>
          </a:r>
          <a:r>
            <a:rPr lang="en-US" sz="3600" b="1" baseline="0">
              <a:solidFill>
                <a:schemeClr val="bg1"/>
              </a:solidFill>
            </a:rPr>
            <a:t> Gender</a:t>
          </a:r>
          <a:endParaRPr lang="en-US" sz="3600" b="1">
            <a:solidFill>
              <a:schemeClr val="bg1"/>
            </a:solidFill>
          </a:endParaRPr>
        </a:p>
      </xdr:txBody>
    </xdr:sp>
    <xdr:clientData/>
  </xdr:twoCellAnchor>
  <xdr:twoCellAnchor>
    <xdr:from>
      <xdr:col>51</xdr:col>
      <xdr:colOff>250509</xdr:colOff>
      <xdr:row>34</xdr:row>
      <xdr:rowOff>3827</xdr:rowOff>
    </xdr:from>
    <xdr:to>
      <xdr:col>52</xdr:col>
      <xdr:colOff>403693</xdr:colOff>
      <xdr:row>34</xdr:row>
      <xdr:rowOff>62035</xdr:rowOff>
    </xdr:to>
    <xdr:sp macro="" textlink="">
      <xdr:nvSpPr>
        <xdr:cNvPr id="78" name="TextBox 77">
          <a:extLst>
            <a:ext uri="{FF2B5EF4-FFF2-40B4-BE49-F238E27FC236}">
              <a16:creationId xmlns:a16="http://schemas.microsoft.com/office/drawing/2014/main" id="{AF8B0963-FD95-0AF8-B654-F0D3C8421544}"/>
            </a:ext>
          </a:extLst>
        </xdr:cNvPr>
        <xdr:cNvSpPr txBox="1"/>
      </xdr:nvSpPr>
      <xdr:spPr>
        <a:xfrm flipH="1">
          <a:off x="31286134" y="6300910"/>
          <a:ext cx="761726" cy="58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2400" b="1">
            <a:solidFill>
              <a:schemeClr val="bg1"/>
            </a:solidFill>
          </a:endParaRPr>
        </a:p>
      </xdr:txBody>
    </xdr:sp>
    <xdr:clientData/>
  </xdr:twoCellAnchor>
  <xdr:twoCellAnchor>
    <xdr:from>
      <xdr:col>35</xdr:col>
      <xdr:colOff>499241</xdr:colOff>
      <xdr:row>8</xdr:row>
      <xdr:rowOff>125114</xdr:rowOff>
    </xdr:from>
    <xdr:to>
      <xdr:col>45</xdr:col>
      <xdr:colOff>304508</xdr:colOff>
      <xdr:row>17</xdr:row>
      <xdr:rowOff>56534</xdr:rowOff>
    </xdr:to>
    <xdr:grpSp>
      <xdr:nvGrpSpPr>
        <xdr:cNvPr id="106" name="Group 105">
          <a:extLst>
            <a:ext uri="{FF2B5EF4-FFF2-40B4-BE49-F238E27FC236}">
              <a16:creationId xmlns:a16="http://schemas.microsoft.com/office/drawing/2014/main" id="{990C7325-AEB3-0279-06B9-99AAAC1AE853}"/>
            </a:ext>
          </a:extLst>
        </xdr:cNvPr>
        <xdr:cNvGrpSpPr/>
      </xdr:nvGrpSpPr>
      <xdr:grpSpPr>
        <a:xfrm>
          <a:off x="21983408" y="1649114"/>
          <a:ext cx="5943600" cy="1645920"/>
          <a:chOff x="12124050" y="1682155"/>
          <a:chExt cx="3451472" cy="1622285"/>
        </a:xfrm>
      </xdr:grpSpPr>
      <xdr:grpSp>
        <xdr:nvGrpSpPr>
          <xdr:cNvPr id="22" name="Group 21">
            <a:extLst>
              <a:ext uri="{FF2B5EF4-FFF2-40B4-BE49-F238E27FC236}">
                <a16:creationId xmlns:a16="http://schemas.microsoft.com/office/drawing/2014/main" id="{B95DE48B-1377-FC88-5B58-B936F9B2B6B0}"/>
              </a:ext>
            </a:extLst>
          </xdr:cNvPr>
          <xdr:cNvGrpSpPr/>
        </xdr:nvGrpSpPr>
        <xdr:grpSpPr>
          <a:xfrm>
            <a:off x="12124050" y="1682155"/>
            <a:ext cx="3451472" cy="1622285"/>
            <a:chOff x="1979542" y="1353125"/>
            <a:chExt cx="3383280" cy="1599282"/>
          </a:xfrm>
        </xdr:grpSpPr>
        <xdr:grpSp>
          <xdr:nvGrpSpPr>
            <xdr:cNvPr id="23" name="Group 22">
              <a:extLst>
                <a:ext uri="{FF2B5EF4-FFF2-40B4-BE49-F238E27FC236}">
                  <a16:creationId xmlns:a16="http://schemas.microsoft.com/office/drawing/2014/main" id="{B7671C80-95DC-78D2-23FD-A93DE68C5987}"/>
                </a:ext>
              </a:extLst>
            </xdr:cNvPr>
            <xdr:cNvGrpSpPr/>
          </xdr:nvGrpSpPr>
          <xdr:grpSpPr>
            <a:xfrm>
              <a:off x="1979542" y="1353125"/>
              <a:ext cx="3383280" cy="1599282"/>
              <a:chOff x="1828864" y="1428464"/>
              <a:chExt cx="3383280" cy="1599282"/>
            </a:xfrm>
          </xdr:grpSpPr>
          <xdr:sp macro="" textlink="">
            <xdr:nvSpPr>
              <xdr:cNvPr id="25" name="Rectangle: Rounded Corners 24">
                <a:extLst>
                  <a:ext uri="{FF2B5EF4-FFF2-40B4-BE49-F238E27FC236}">
                    <a16:creationId xmlns:a16="http://schemas.microsoft.com/office/drawing/2014/main" id="{B7FE5073-395C-15A9-57B3-0F9A7BA638E9}"/>
                  </a:ext>
                </a:extLst>
              </xdr:cNvPr>
              <xdr:cNvSpPr/>
            </xdr:nvSpPr>
            <xdr:spPr>
              <a:xfrm>
                <a:off x="1828864" y="1428464"/>
                <a:ext cx="3383280" cy="1599282"/>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_KPI''s'!D6">
            <xdr:nvSpPr>
              <xdr:cNvPr id="27" name="TextBox 26">
                <a:extLst>
                  <a:ext uri="{FF2B5EF4-FFF2-40B4-BE49-F238E27FC236}">
                    <a16:creationId xmlns:a16="http://schemas.microsoft.com/office/drawing/2014/main" id="{02AEE07B-69CC-D07E-B191-D1A8F3648135}"/>
                  </a:ext>
                </a:extLst>
              </xdr:cNvPr>
              <xdr:cNvSpPr txBox="1"/>
            </xdr:nvSpPr>
            <xdr:spPr>
              <a:xfrm>
                <a:off x="3548211" y="1809231"/>
                <a:ext cx="791631" cy="51417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t>100</a:t>
                </a:r>
              </a:p>
            </xdr:txBody>
          </xdr:sp>
        </xdr:grpSp>
        <xdr:sp macro="" textlink="">
          <xdr:nvSpPr>
            <xdr:cNvPr id="24" name="TextBox 23">
              <a:extLst>
                <a:ext uri="{FF2B5EF4-FFF2-40B4-BE49-F238E27FC236}">
                  <a16:creationId xmlns:a16="http://schemas.microsoft.com/office/drawing/2014/main" id="{2C2D9141-0798-89C1-3963-12E21A89E5BE}"/>
                </a:ext>
              </a:extLst>
            </xdr:cNvPr>
            <xdr:cNvSpPr txBox="1"/>
          </xdr:nvSpPr>
          <xdr:spPr>
            <a:xfrm>
              <a:off x="3416739" y="2195375"/>
              <a:ext cx="1037684" cy="5383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solidFill>
                    <a:schemeClr val="accent6">
                      <a:lumMod val="75000"/>
                    </a:schemeClr>
                  </a:solidFill>
                </a:rPr>
                <a:t>Sales</a:t>
              </a:r>
              <a:r>
                <a:rPr lang="en-US" sz="2400" b="1" baseline="0">
                  <a:solidFill>
                    <a:schemeClr val="accent6">
                      <a:lumMod val="75000"/>
                    </a:schemeClr>
                  </a:solidFill>
                </a:rPr>
                <a:t> Count</a:t>
              </a:r>
              <a:endParaRPr lang="en-US" sz="2400" b="1">
                <a:solidFill>
                  <a:schemeClr val="accent6">
                    <a:lumMod val="75000"/>
                  </a:schemeClr>
                </a:solidFill>
              </a:endParaRPr>
            </a:p>
          </xdr:txBody>
        </xdr:sp>
      </xdr:grpSp>
      <xdr:pic>
        <xdr:nvPicPr>
          <xdr:cNvPr id="96" name="Graphic 95" descr="Repeat with solid fill">
            <a:extLst>
              <a:ext uri="{FF2B5EF4-FFF2-40B4-BE49-F238E27FC236}">
                <a16:creationId xmlns:a16="http://schemas.microsoft.com/office/drawing/2014/main" id="{A53B79A7-83A2-824B-6504-58CB4288F39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2393264" y="1707768"/>
            <a:ext cx="1000942" cy="1571699"/>
          </a:xfrm>
          <a:prstGeom prst="rect">
            <a:avLst/>
          </a:prstGeom>
        </xdr:spPr>
      </xdr:pic>
    </xdr:grpSp>
    <xdr:clientData/>
  </xdr:twoCellAnchor>
  <xdr:twoCellAnchor>
    <xdr:from>
      <xdr:col>12</xdr:col>
      <xdr:colOff>486686</xdr:colOff>
      <xdr:row>8</xdr:row>
      <xdr:rowOff>120999</xdr:rowOff>
    </xdr:from>
    <xdr:to>
      <xdr:col>22</xdr:col>
      <xdr:colOff>291953</xdr:colOff>
      <xdr:row>17</xdr:row>
      <xdr:rowOff>60650</xdr:rowOff>
    </xdr:to>
    <xdr:grpSp>
      <xdr:nvGrpSpPr>
        <xdr:cNvPr id="36" name="Group 35">
          <a:extLst>
            <a:ext uri="{FF2B5EF4-FFF2-40B4-BE49-F238E27FC236}">
              <a16:creationId xmlns:a16="http://schemas.microsoft.com/office/drawing/2014/main" id="{03D60BEC-D12A-054B-2B96-EF021FCE0F1C}"/>
            </a:ext>
          </a:extLst>
        </xdr:cNvPr>
        <xdr:cNvGrpSpPr/>
      </xdr:nvGrpSpPr>
      <xdr:grpSpPr>
        <a:xfrm>
          <a:off x="7852686" y="1644999"/>
          <a:ext cx="5943600" cy="1654151"/>
          <a:chOff x="2043112" y="505605"/>
          <a:chExt cx="1920240" cy="822960"/>
        </a:xfrm>
      </xdr:grpSpPr>
      <xdr:grpSp>
        <xdr:nvGrpSpPr>
          <xdr:cNvPr id="34" name="Group 33">
            <a:extLst>
              <a:ext uri="{FF2B5EF4-FFF2-40B4-BE49-F238E27FC236}">
                <a16:creationId xmlns:a16="http://schemas.microsoft.com/office/drawing/2014/main" id="{7B1D9747-06B6-512E-0FD9-9AC5F345F66E}"/>
              </a:ext>
            </a:extLst>
          </xdr:cNvPr>
          <xdr:cNvGrpSpPr/>
        </xdr:nvGrpSpPr>
        <xdr:grpSpPr>
          <a:xfrm>
            <a:off x="2043112" y="505605"/>
            <a:ext cx="1920240" cy="822960"/>
            <a:chOff x="2010039" y="591594"/>
            <a:chExt cx="1920240" cy="822960"/>
          </a:xfrm>
        </xdr:grpSpPr>
        <xdr:sp macro="" textlink="">
          <xdr:nvSpPr>
            <xdr:cNvPr id="13" name="Rectangle: Rounded Corners 12">
              <a:extLst>
                <a:ext uri="{FF2B5EF4-FFF2-40B4-BE49-F238E27FC236}">
                  <a16:creationId xmlns:a16="http://schemas.microsoft.com/office/drawing/2014/main" id="{8664E1F8-CA82-B11D-ECF6-CACA0F5A3542}"/>
                </a:ext>
              </a:extLst>
            </xdr:cNvPr>
            <xdr:cNvSpPr/>
          </xdr:nvSpPr>
          <xdr:spPr>
            <a:xfrm>
              <a:off x="2010039" y="591594"/>
              <a:ext cx="1920240" cy="822960"/>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3" name="Group 32">
              <a:extLst>
                <a:ext uri="{FF2B5EF4-FFF2-40B4-BE49-F238E27FC236}">
                  <a16:creationId xmlns:a16="http://schemas.microsoft.com/office/drawing/2014/main" id="{7BD181B2-34B3-C6CB-F521-58CE29E28A93}"/>
                </a:ext>
              </a:extLst>
            </xdr:cNvPr>
            <xdr:cNvGrpSpPr/>
          </xdr:nvGrpSpPr>
          <xdr:grpSpPr>
            <a:xfrm>
              <a:off x="2632605" y="723798"/>
              <a:ext cx="899583" cy="621772"/>
              <a:chOff x="2632605" y="723798"/>
              <a:chExt cx="899583" cy="621772"/>
            </a:xfrm>
          </xdr:grpSpPr>
          <xdr:sp macro="" textlink="'Pivot_KPI''s'!B6">
            <xdr:nvSpPr>
              <xdr:cNvPr id="15" name="TextBox 14">
                <a:extLst>
                  <a:ext uri="{FF2B5EF4-FFF2-40B4-BE49-F238E27FC236}">
                    <a16:creationId xmlns:a16="http://schemas.microsoft.com/office/drawing/2014/main" id="{19E6AFDC-C67E-FBB5-84F8-734AD93F63CE}"/>
                  </a:ext>
                </a:extLst>
              </xdr:cNvPr>
              <xdr:cNvSpPr txBox="1"/>
            </xdr:nvSpPr>
            <xdr:spPr>
              <a:xfrm>
                <a:off x="2692135" y="723798"/>
                <a:ext cx="800365" cy="27119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0354ADC-D9C4-4D00-B8D2-17010F7BED9B}" type="TxLink">
                  <a:rPr lang="en-US" sz="2400" b="1" i="0" u="none" strike="noStrike">
                    <a:solidFill>
                      <a:srgbClr val="000000"/>
                    </a:solidFill>
                    <a:latin typeface="Calibri"/>
                    <a:ea typeface="Calibri"/>
                    <a:cs typeface="Calibri"/>
                  </a:rPr>
                  <a:pPr algn="l"/>
                  <a:t>₦2.1 M</a:t>
                </a:fld>
                <a:endParaRPr lang="en-US" sz="2400" b="1"/>
              </a:p>
            </xdr:txBody>
          </xdr:sp>
          <xdr:sp macro="" textlink="">
            <xdr:nvSpPr>
              <xdr:cNvPr id="12" name="TextBox 11">
                <a:extLst>
                  <a:ext uri="{FF2B5EF4-FFF2-40B4-BE49-F238E27FC236}">
                    <a16:creationId xmlns:a16="http://schemas.microsoft.com/office/drawing/2014/main" id="{0B970627-14AB-9E8E-36C7-6A30A34BBF04}"/>
                  </a:ext>
                </a:extLst>
              </xdr:cNvPr>
              <xdr:cNvSpPr txBox="1"/>
            </xdr:nvSpPr>
            <xdr:spPr>
              <a:xfrm>
                <a:off x="2632605" y="1054528"/>
                <a:ext cx="899583" cy="2910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solidFill>
                      <a:schemeClr val="accent6">
                        <a:lumMod val="75000"/>
                      </a:schemeClr>
                    </a:solidFill>
                  </a:rPr>
                  <a:t>Total</a:t>
                </a:r>
                <a:r>
                  <a:rPr lang="en-US" sz="2400" b="1" baseline="0">
                    <a:solidFill>
                      <a:schemeClr val="accent6">
                        <a:lumMod val="75000"/>
                      </a:schemeClr>
                    </a:solidFill>
                  </a:rPr>
                  <a:t> Profit</a:t>
                </a:r>
                <a:endParaRPr lang="en-US" sz="2400" b="1">
                  <a:solidFill>
                    <a:schemeClr val="accent6">
                      <a:lumMod val="75000"/>
                    </a:schemeClr>
                  </a:solidFill>
                </a:endParaRPr>
              </a:p>
            </xdr:txBody>
          </xdr:sp>
        </xdr:grpSp>
      </xdr:grpSp>
      <xdr:pic>
        <xdr:nvPicPr>
          <xdr:cNvPr id="102" name="Graphic 101" descr="Checkmark with solid fill">
            <a:extLst>
              <a:ext uri="{FF2B5EF4-FFF2-40B4-BE49-F238E27FC236}">
                <a16:creationId xmlns:a16="http://schemas.microsoft.com/office/drawing/2014/main" id="{E6996407-A469-9716-488A-3AE6A38950D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60584" y="527105"/>
            <a:ext cx="481441" cy="741085"/>
          </a:xfrm>
          <a:prstGeom prst="rect">
            <a:avLst/>
          </a:prstGeom>
        </xdr:spPr>
      </xdr:pic>
    </xdr:grpSp>
    <xdr:clientData/>
  </xdr:twoCellAnchor>
  <xdr:twoCellAnchor editAs="oneCell">
    <xdr:from>
      <xdr:col>47</xdr:col>
      <xdr:colOff>338666</xdr:colOff>
      <xdr:row>8</xdr:row>
      <xdr:rowOff>169333</xdr:rowOff>
    </xdr:from>
    <xdr:to>
      <xdr:col>62</xdr:col>
      <xdr:colOff>571499</xdr:colOff>
      <xdr:row>16</xdr:row>
      <xdr:rowOff>169333</xdr:rowOff>
    </xdr:to>
    <mc:AlternateContent xmlns:mc="http://schemas.openxmlformats.org/markup-compatibility/2006" xmlns:a14="http://schemas.microsoft.com/office/drawing/2010/main">
      <mc:Choice Requires="a14">
        <xdr:graphicFrame macro="">
          <xdr:nvGraphicFramePr>
            <xdr:cNvPr id="108" name="ProductCategory">
              <a:extLst>
                <a:ext uri="{FF2B5EF4-FFF2-40B4-BE49-F238E27FC236}">
                  <a16:creationId xmlns:a16="http://schemas.microsoft.com/office/drawing/2014/main" id="{9572A15D-5322-4FD5-BB87-B78B6CB19630}"/>
                </a:ext>
              </a:extLst>
            </xdr:cNvPr>
            <xdr:cNvGraphicFramePr/>
          </xdr:nvGraphicFramePr>
          <xdr:xfrm>
            <a:off x="0" y="0"/>
            <a:ext cx="0" cy="0"/>
          </xdr:xfrm>
          <a:graphic>
            <a:graphicData uri="http://schemas.microsoft.com/office/drawing/2010/slicer">
              <sle:slicer xmlns:sle="http://schemas.microsoft.com/office/drawing/2010/slicer" name="ProductCategory"/>
            </a:graphicData>
          </a:graphic>
        </xdr:graphicFrame>
      </mc:Choice>
      <mc:Fallback xmlns="">
        <xdr:sp macro="" textlink="">
          <xdr:nvSpPr>
            <xdr:cNvPr id="0" name=""/>
            <xdr:cNvSpPr>
              <a:spLocks noTextEdit="1"/>
            </xdr:cNvSpPr>
          </xdr:nvSpPr>
          <xdr:spPr>
            <a:xfrm>
              <a:off x="29188833" y="1693333"/>
              <a:ext cx="9440333"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239952</xdr:colOff>
      <xdr:row>50</xdr:row>
      <xdr:rowOff>31846</xdr:rowOff>
    </xdr:from>
    <xdr:to>
      <xdr:col>37</xdr:col>
      <xdr:colOff>359332</xdr:colOff>
      <xdr:row>86</xdr:row>
      <xdr:rowOff>123286</xdr:rowOff>
    </xdr:to>
    <xdr:grpSp>
      <xdr:nvGrpSpPr>
        <xdr:cNvPr id="4" name="Group 3">
          <a:extLst>
            <a:ext uri="{FF2B5EF4-FFF2-40B4-BE49-F238E27FC236}">
              <a16:creationId xmlns:a16="http://schemas.microsoft.com/office/drawing/2014/main" id="{D24A8D48-B34D-3BAC-B29A-D81DC406F0A2}"/>
            </a:ext>
          </a:extLst>
        </xdr:cNvPr>
        <xdr:cNvGrpSpPr/>
      </xdr:nvGrpSpPr>
      <xdr:grpSpPr>
        <a:xfrm>
          <a:off x="13744285" y="9556846"/>
          <a:ext cx="9326880" cy="6949440"/>
          <a:chOff x="13744285" y="9556846"/>
          <a:chExt cx="9326880" cy="6949440"/>
        </a:xfrm>
      </xdr:grpSpPr>
      <xdr:grpSp>
        <xdr:nvGrpSpPr>
          <xdr:cNvPr id="59" name="Group 58">
            <a:extLst>
              <a:ext uri="{FF2B5EF4-FFF2-40B4-BE49-F238E27FC236}">
                <a16:creationId xmlns:a16="http://schemas.microsoft.com/office/drawing/2014/main" id="{17D81428-C660-17A1-7508-5706B9AA0938}"/>
              </a:ext>
            </a:extLst>
          </xdr:cNvPr>
          <xdr:cNvGrpSpPr/>
        </xdr:nvGrpSpPr>
        <xdr:grpSpPr>
          <a:xfrm>
            <a:off x="13744285" y="9556846"/>
            <a:ext cx="9326880" cy="6949440"/>
            <a:chOff x="201586" y="4049115"/>
            <a:chExt cx="11573389" cy="3939421"/>
          </a:xfrm>
        </xdr:grpSpPr>
        <xdr:sp macro="" textlink="">
          <xdr:nvSpPr>
            <xdr:cNvPr id="60" name="Rectangle: Rounded Corners 59">
              <a:extLst>
                <a:ext uri="{FF2B5EF4-FFF2-40B4-BE49-F238E27FC236}">
                  <a16:creationId xmlns:a16="http://schemas.microsoft.com/office/drawing/2014/main" id="{6BEA783C-24EC-9810-4C91-39BFF0A134E6}"/>
                </a:ext>
              </a:extLst>
            </xdr:cNvPr>
            <xdr:cNvSpPr/>
          </xdr:nvSpPr>
          <xdr:spPr>
            <a:xfrm>
              <a:off x="235856" y="4055946"/>
              <a:ext cx="11539119" cy="3932590"/>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61" name="Group 60">
              <a:extLst>
                <a:ext uri="{FF2B5EF4-FFF2-40B4-BE49-F238E27FC236}">
                  <a16:creationId xmlns:a16="http://schemas.microsoft.com/office/drawing/2014/main" id="{BB354A23-3394-61AD-8A9E-A01A156B9CEB}"/>
                </a:ext>
              </a:extLst>
            </xdr:cNvPr>
            <xdr:cNvGrpSpPr/>
          </xdr:nvGrpSpPr>
          <xdr:grpSpPr>
            <a:xfrm>
              <a:off x="201586" y="4049115"/>
              <a:ext cx="11547747" cy="1053214"/>
              <a:chOff x="201586" y="4049115"/>
              <a:chExt cx="11547747" cy="1053214"/>
            </a:xfrm>
          </xdr:grpSpPr>
          <xdr:grpSp>
            <xdr:nvGrpSpPr>
              <xdr:cNvPr id="62" name="Group 61">
                <a:extLst>
                  <a:ext uri="{FF2B5EF4-FFF2-40B4-BE49-F238E27FC236}">
                    <a16:creationId xmlns:a16="http://schemas.microsoft.com/office/drawing/2014/main" id="{2099D70C-26BC-E586-F2B7-377FCE819A53}"/>
                  </a:ext>
                </a:extLst>
              </xdr:cNvPr>
              <xdr:cNvGrpSpPr/>
            </xdr:nvGrpSpPr>
            <xdr:grpSpPr>
              <a:xfrm>
                <a:off x="201586" y="4049115"/>
                <a:ext cx="11547747" cy="1053214"/>
                <a:chOff x="9262935" y="5765398"/>
                <a:chExt cx="8803135" cy="1028093"/>
              </a:xfrm>
            </xdr:grpSpPr>
            <xdr:sp macro="" textlink="">
              <xdr:nvSpPr>
                <xdr:cNvPr id="64" name="Rectangle 63">
                  <a:extLst>
                    <a:ext uri="{FF2B5EF4-FFF2-40B4-BE49-F238E27FC236}">
                      <a16:creationId xmlns:a16="http://schemas.microsoft.com/office/drawing/2014/main" id="{D80D0A9A-7BBC-62AC-61C9-895C23636987}"/>
                    </a:ext>
                  </a:extLst>
                </xdr:cNvPr>
                <xdr:cNvSpPr/>
              </xdr:nvSpPr>
              <xdr:spPr>
                <a:xfrm>
                  <a:off x="9273016" y="6168572"/>
                  <a:ext cx="8793054" cy="624919"/>
                </a:xfrm>
                <a:prstGeom prst="rect">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65" name="Rectangle: Rounded Corners 64">
                  <a:extLst>
                    <a:ext uri="{FF2B5EF4-FFF2-40B4-BE49-F238E27FC236}">
                      <a16:creationId xmlns:a16="http://schemas.microsoft.com/office/drawing/2014/main" id="{1CB52D22-A2C6-0614-8570-F49C606942FA}"/>
                    </a:ext>
                  </a:extLst>
                </xdr:cNvPr>
                <xdr:cNvSpPr/>
              </xdr:nvSpPr>
              <xdr:spPr>
                <a:xfrm>
                  <a:off x="9262935" y="5765398"/>
                  <a:ext cx="8763089" cy="947460"/>
                </a:xfrm>
                <a:prstGeom prst="roundRect">
                  <a:avLst>
                    <a:gd name="adj" fmla="val 48582"/>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63" name="TextBox 62">
                <a:extLst>
                  <a:ext uri="{FF2B5EF4-FFF2-40B4-BE49-F238E27FC236}">
                    <a16:creationId xmlns:a16="http://schemas.microsoft.com/office/drawing/2014/main" id="{9EE0E30A-FD58-5BF4-E87F-C0433BC564AF}"/>
                  </a:ext>
                </a:extLst>
              </xdr:cNvPr>
              <xdr:cNvSpPr txBox="1"/>
            </xdr:nvSpPr>
            <xdr:spPr>
              <a:xfrm>
                <a:off x="437756" y="4370878"/>
                <a:ext cx="5186682" cy="587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600" b="1">
                    <a:solidFill>
                      <a:schemeClr val="bg1"/>
                    </a:solidFill>
                  </a:rPr>
                  <a:t>Filter</a:t>
                </a:r>
                <a:r>
                  <a:rPr lang="en-US" sz="3600" b="1" baseline="0">
                    <a:solidFill>
                      <a:schemeClr val="bg1"/>
                    </a:solidFill>
                  </a:rPr>
                  <a:t> By Region</a:t>
                </a:r>
                <a:endParaRPr lang="en-US" sz="3600" b="1">
                  <a:solidFill>
                    <a:schemeClr val="bg1"/>
                  </a:solidFill>
                </a:endParaRPr>
              </a:p>
            </xdr:txBody>
          </xdr:sp>
        </xdr:grpSp>
      </xdr:grpSp>
      <mc:AlternateContent xmlns:mc="http://schemas.openxmlformats.org/markup-compatibility/2006">
        <mc:Choice xmlns:a14="http://schemas.microsoft.com/office/drawing/2010/main" Requires="a14">
          <xdr:graphicFrame macro="">
            <xdr:nvGraphicFramePr>
              <xdr:cNvPr id="109" name="Region 1">
                <a:extLst>
                  <a:ext uri="{FF2B5EF4-FFF2-40B4-BE49-F238E27FC236}">
                    <a16:creationId xmlns:a16="http://schemas.microsoft.com/office/drawing/2014/main" id="{BEC422BE-9455-EF7D-FE11-8854980CA953}"/>
                  </a:ext>
                </a:extLst>
              </xdr:cNvPr>
              <xdr:cNvGraphicFramePr/>
            </xdr:nvGraphicFramePr>
            <xdr:xfrm>
              <a:off x="14245167" y="11430001"/>
              <a:ext cx="8429625" cy="476250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4245167" y="11430001"/>
                <a:ext cx="8429625" cy="476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xdr:col>
      <xdr:colOff>169335</xdr:colOff>
      <xdr:row>60</xdr:row>
      <xdr:rowOff>63500</xdr:rowOff>
    </xdr:from>
    <xdr:to>
      <xdr:col>20</xdr:col>
      <xdr:colOff>211667</xdr:colOff>
      <xdr:row>85</xdr:row>
      <xdr:rowOff>21167</xdr:rowOff>
    </xdr:to>
    <xdr:graphicFrame macro="">
      <xdr:nvGraphicFramePr>
        <xdr:cNvPr id="14" name="Chart 13">
          <a:extLst>
            <a:ext uri="{FF2B5EF4-FFF2-40B4-BE49-F238E27FC236}">
              <a16:creationId xmlns:a16="http://schemas.microsoft.com/office/drawing/2014/main" id="{F32CE2BF-849E-4E94-9029-5C24A16C4F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186047</xdr:colOff>
      <xdr:row>8</xdr:row>
      <xdr:rowOff>120999</xdr:rowOff>
    </xdr:from>
    <xdr:to>
      <xdr:col>33</xdr:col>
      <xdr:colOff>605147</xdr:colOff>
      <xdr:row>17</xdr:row>
      <xdr:rowOff>60650</xdr:rowOff>
    </xdr:to>
    <xdr:grpSp>
      <xdr:nvGrpSpPr>
        <xdr:cNvPr id="35" name="Group 34">
          <a:extLst>
            <a:ext uri="{FF2B5EF4-FFF2-40B4-BE49-F238E27FC236}">
              <a16:creationId xmlns:a16="http://schemas.microsoft.com/office/drawing/2014/main" id="{5772D7F2-0CCA-7432-CE42-E942668036E2}"/>
            </a:ext>
          </a:extLst>
        </xdr:cNvPr>
        <xdr:cNvGrpSpPr/>
      </xdr:nvGrpSpPr>
      <xdr:grpSpPr>
        <a:xfrm>
          <a:off x="14918047" y="1644999"/>
          <a:ext cx="5943600" cy="1654151"/>
          <a:chOff x="3977490" y="601761"/>
          <a:chExt cx="1920240" cy="822960"/>
        </a:xfrm>
      </xdr:grpSpPr>
      <xdr:grpSp>
        <xdr:nvGrpSpPr>
          <xdr:cNvPr id="16" name="Group 15">
            <a:extLst>
              <a:ext uri="{FF2B5EF4-FFF2-40B4-BE49-F238E27FC236}">
                <a16:creationId xmlns:a16="http://schemas.microsoft.com/office/drawing/2014/main" id="{691C51EF-76FF-838B-9A7F-DB9B6034A8D3}"/>
              </a:ext>
            </a:extLst>
          </xdr:cNvPr>
          <xdr:cNvGrpSpPr/>
        </xdr:nvGrpSpPr>
        <xdr:grpSpPr>
          <a:xfrm>
            <a:off x="3977490" y="601761"/>
            <a:ext cx="1920240" cy="822960"/>
            <a:chOff x="1984667" y="1224388"/>
            <a:chExt cx="3369721" cy="1622582"/>
          </a:xfrm>
        </xdr:grpSpPr>
        <xdr:sp macro="" textlink="">
          <xdr:nvSpPr>
            <xdr:cNvPr id="19" name="Rectangle: Rounded Corners 18">
              <a:extLst>
                <a:ext uri="{FF2B5EF4-FFF2-40B4-BE49-F238E27FC236}">
                  <a16:creationId xmlns:a16="http://schemas.microsoft.com/office/drawing/2014/main" id="{A3DEB63E-E97D-82A3-8DC2-C57636D4856E}"/>
                </a:ext>
              </a:extLst>
            </xdr:cNvPr>
            <xdr:cNvSpPr/>
          </xdr:nvSpPr>
          <xdr:spPr>
            <a:xfrm>
              <a:off x="1984667" y="1224388"/>
              <a:ext cx="3369721" cy="1622582"/>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TextBox 17">
              <a:extLst>
                <a:ext uri="{FF2B5EF4-FFF2-40B4-BE49-F238E27FC236}">
                  <a16:creationId xmlns:a16="http://schemas.microsoft.com/office/drawing/2014/main" id="{AB57A7BE-20AF-7AEC-1924-451369022EFD}"/>
                </a:ext>
              </a:extLst>
            </xdr:cNvPr>
            <xdr:cNvSpPr txBox="1"/>
          </xdr:nvSpPr>
          <xdr:spPr>
            <a:xfrm>
              <a:off x="3196802" y="2104828"/>
              <a:ext cx="1134530" cy="501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baseline="0">
                  <a:solidFill>
                    <a:schemeClr val="accent6">
                      <a:lumMod val="75000"/>
                    </a:schemeClr>
                  </a:solidFill>
                </a:rPr>
                <a:t>Profit Margin</a:t>
              </a:r>
              <a:endParaRPr lang="en-US" sz="2400" b="1">
                <a:solidFill>
                  <a:schemeClr val="accent6">
                    <a:lumMod val="75000"/>
                  </a:schemeClr>
                </a:solidFill>
              </a:endParaRPr>
            </a:p>
          </xdr:txBody>
        </xdr:sp>
      </xdr:grpSp>
      <xdr:sp macro="" textlink="'Pivot_KPI''s'!C6">
        <xdr:nvSpPr>
          <xdr:cNvPr id="7" name="Rectangle 6">
            <a:extLst>
              <a:ext uri="{FF2B5EF4-FFF2-40B4-BE49-F238E27FC236}">
                <a16:creationId xmlns:a16="http://schemas.microsoft.com/office/drawing/2014/main" id="{D9B19941-FF77-11BC-BD11-206A8468C0F0}"/>
              </a:ext>
            </a:extLst>
          </xdr:cNvPr>
          <xdr:cNvSpPr/>
        </xdr:nvSpPr>
        <xdr:spPr>
          <a:xfrm>
            <a:off x="4792725" y="816527"/>
            <a:ext cx="588698" cy="2551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AAA456CD-76C3-40BD-A2D0-1DDC5ED1FB64}" type="TxLink">
              <a:rPr lang="en-US" sz="2400" b="1" i="0" u="none" strike="noStrike">
                <a:solidFill>
                  <a:srgbClr val="000000"/>
                </a:solidFill>
                <a:latin typeface="Calibri"/>
                <a:ea typeface="Calibri"/>
                <a:cs typeface="Calibri"/>
              </a:rPr>
              <a:pPr algn="l"/>
              <a:t>27.6%</a:t>
            </a:fld>
            <a:endParaRPr lang="en-US" sz="2400" b="1"/>
          </a:p>
        </xdr:txBody>
      </xdr:sp>
    </xdr:grpSp>
    <xdr:clientData/>
  </xdr:twoCellAnchor>
  <xdr:twoCellAnchor>
    <xdr:from>
      <xdr:col>24</xdr:col>
      <xdr:colOff>289205</xdr:colOff>
      <xdr:row>8</xdr:row>
      <xdr:rowOff>181448</xdr:rowOff>
    </xdr:from>
    <xdr:to>
      <xdr:col>27</xdr:col>
      <xdr:colOff>299552</xdr:colOff>
      <xdr:row>16</xdr:row>
      <xdr:rowOff>135850</xdr:rowOff>
    </xdr:to>
    <xdr:pic>
      <xdr:nvPicPr>
        <xdr:cNvPr id="38" name="Graphic 37" descr="Circles with lines with solid fill">
          <a:extLst>
            <a:ext uri="{FF2B5EF4-FFF2-40B4-BE49-F238E27FC236}">
              <a16:creationId xmlns:a16="http://schemas.microsoft.com/office/drawing/2014/main" id="{21C3D1CC-1628-DD49-A026-6C1F5FA9A66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21205" y="1705448"/>
          <a:ext cx="1851847" cy="1478402"/>
        </a:xfrm>
        <a:prstGeom prst="rect">
          <a:avLst/>
        </a:prstGeom>
      </xdr:spPr>
    </xdr:pic>
    <xdr:clientData/>
  </xdr:twoCellAnchor>
  <xdr:twoCellAnchor>
    <xdr:from>
      <xdr:col>0</xdr:col>
      <xdr:colOff>326570</xdr:colOff>
      <xdr:row>8</xdr:row>
      <xdr:rowOff>120999</xdr:rowOff>
    </xdr:from>
    <xdr:to>
      <xdr:col>10</xdr:col>
      <xdr:colOff>131837</xdr:colOff>
      <xdr:row>17</xdr:row>
      <xdr:rowOff>60650</xdr:rowOff>
    </xdr:to>
    <xdr:grpSp>
      <xdr:nvGrpSpPr>
        <xdr:cNvPr id="69" name="Group 68">
          <a:extLst>
            <a:ext uri="{FF2B5EF4-FFF2-40B4-BE49-F238E27FC236}">
              <a16:creationId xmlns:a16="http://schemas.microsoft.com/office/drawing/2014/main" id="{E81A7A39-E21C-EBD8-F288-62C68CBFDF4E}"/>
            </a:ext>
          </a:extLst>
        </xdr:cNvPr>
        <xdr:cNvGrpSpPr/>
      </xdr:nvGrpSpPr>
      <xdr:grpSpPr>
        <a:xfrm>
          <a:off x="326570" y="1644999"/>
          <a:ext cx="5943600" cy="1654151"/>
          <a:chOff x="92606" y="1068401"/>
          <a:chExt cx="1920240" cy="822960"/>
        </a:xfrm>
      </xdr:grpSpPr>
      <xdr:grpSp>
        <xdr:nvGrpSpPr>
          <xdr:cNvPr id="68" name="Group 67">
            <a:extLst>
              <a:ext uri="{FF2B5EF4-FFF2-40B4-BE49-F238E27FC236}">
                <a16:creationId xmlns:a16="http://schemas.microsoft.com/office/drawing/2014/main" id="{4F6949B3-538A-3B2B-4BBA-DC70EAD66D9B}"/>
              </a:ext>
            </a:extLst>
          </xdr:cNvPr>
          <xdr:cNvGrpSpPr/>
        </xdr:nvGrpSpPr>
        <xdr:grpSpPr>
          <a:xfrm>
            <a:off x="92606" y="1068401"/>
            <a:ext cx="1920240" cy="822960"/>
            <a:chOff x="99220" y="1055172"/>
            <a:chExt cx="1920240" cy="822960"/>
          </a:xfrm>
        </xdr:grpSpPr>
        <xdr:grpSp>
          <xdr:nvGrpSpPr>
            <xdr:cNvPr id="67" name="Group 66">
              <a:extLst>
                <a:ext uri="{FF2B5EF4-FFF2-40B4-BE49-F238E27FC236}">
                  <a16:creationId xmlns:a16="http://schemas.microsoft.com/office/drawing/2014/main" id="{289131BF-3963-98FA-5D6A-31637CEFD2BB}"/>
                </a:ext>
              </a:extLst>
            </xdr:cNvPr>
            <xdr:cNvGrpSpPr/>
          </xdr:nvGrpSpPr>
          <xdr:grpSpPr>
            <a:xfrm>
              <a:off x="99220" y="1055172"/>
              <a:ext cx="1920240" cy="822960"/>
              <a:chOff x="79376" y="1075388"/>
              <a:chExt cx="1920240" cy="822960"/>
            </a:xfrm>
          </xdr:grpSpPr>
          <xdr:sp macro="" textlink="">
            <xdr:nvSpPr>
              <xdr:cNvPr id="2" name="Rectangle: Rounded Corners 1">
                <a:extLst>
                  <a:ext uri="{FF2B5EF4-FFF2-40B4-BE49-F238E27FC236}">
                    <a16:creationId xmlns:a16="http://schemas.microsoft.com/office/drawing/2014/main" id="{E263FEB4-9336-8EBE-A69E-CBB8812B4B51}"/>
                  </a:ext>
                </a:extLst>
              </xdr:cNvPr>
              <xdr:cNvSpPr/>
            </xdr:nvSpPr>
            <xdr:spPr>
              <a:xfrm>
                <a:off x="99220" y="1055172"/>
                <a:ext cx="1920240" cy="822960"/>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_KPI''s'!A6">
            <xdr:nvSpPr>
              <xdr:cNvPr id="5" name="TextBox 4">
                <a:extLst>
                  <a:ext uri="{FF2B5EF4-FFF2-40B4-BE49-F238E27FC236}">
                    <a16:creationId xmlns:a16="http://schemas.microsoft.com/office/drawing/2014/main" id="{835E7A87-0B72-E6B3-E865-04264707E04F}"/>
                  </a:ext>
                </a:extLst>
              </xdr:cNvPr>
              <xdr:cNvSpPr txBox="1"/>
            </xdr:nvSpPr>
            <xdr:spPr>
              <a:xfrm>
                <a:off x="759354" y="1237875"/>
                <a:ext cx="760017" cy="31505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68F8DF6-3468-43ED-A176-C7F81268434E}" type="TxLink">
                  <a:rPr lang="en-US" sz="2400" b="1" i="0" u="none" strike="noStrike">
                    <a:solidFill>
                      <a:srgbClr val="000000"/>
                    </a:solidFill>
                    <a:latin typeface="Calibri"/>
                    <a:ea typeface="Calibri"/>
                    <a:cs typeface="Calibri"/>
                  </a:rPr>
                  <a:pPr/>
                  <a:t>₦7.8 M</a:t>
                </a:fld>
                <a:endParaRPr lang="en-US" sz="2400" b="1"/>
              </a:p>
            </xdr:txBody>
          </xdr:sp>
        </xdr:grpSp>
        <xdr:sp macro="" textlink="">
          <xdr:nvSpPr>
            <xdr:cNvPr id="6" name="TextBox 5">
              <a:extLst>
                <a:ext uri="{FF2B5EF4-FFF2-40B4-BE49-F238E27FC236}">
                  <a16:creationId xmlns:a16="http://schemas.microsoft.com/office/drawing/2014/main" id="{37AF81C8-9B74-3CD3-935A-254D3FBA12BD}"/>
                </a:ext>
              </a:extLst>
            </xdr:cNvPr>
            <xdr:cNvSpPr txBox="1"/>
          </xdr:nvSpPr>
          <xdr:spPr>
            <a:xfrm>
              <a:off x="739116" y="1481668"/>
              <a:ext cx="897031" cy="35189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solidFill>
                    <a:schemeClr val="accent6">
                      <a:lumMod val="75000"/>
                    </a:schemeClr>
                  </a:solidFill>
                </a:rPr>
                <a:t>Total</a:t>
              </a:r>
              <a:r>
                <a:rPr lang="en-US" sz="2400" b="1" baseline="0">
                  <a:solidFill>
                    <a:schemeClr val="accent6">
                      <a:lumMod val="75000"/>
                    </a:schemeClr>
                  </a:solidFill>
                </a:rPr>
                <a:t> Sales</a:t>
              </a:r>
              <a:endParaRPr lang="en-US" sz="2400" b="1">
                <a:solidFill>
                  <a:schemeClr val="accent6">
                    <a:lumMod val="75000"/>
                  </a:schemeClr>
                </a:solidFill>
              </a:endParaRPr>
            </a:p>
          </xdr:txBody>
        </xdr:sp>
      </xdr:grpSp>
      <xdr:pic>
        <xdr:nvPicPr>
          <xdr:cNvPr id="54" name="Graphic 53" descr="Coins with solid fill">
            <a:extLst>
              <a:ext uri="{FF2B5EF4-FFF2-40B4-BE49-F238E27FC236}">
                <a16:creationId xmlns:a16="http://schemas.microsoft.com/office/drawing/2014/main" id="{D84CCE74-4534-5F6C-E203-4D6DC80D536B}"/>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78592" y="1068465"/>
            <a:ext cx="509324" cy="771708"/>
          </a:xfrm>
          <a:prstGeom prst="rect">
            <a:avLst/>
          </a:prstGeom>
        </xdr:spPr>
      </xdr:pic>
    </xdr:grpSp>
    <xdr:clientData/>
  </xdr:twoCellAnchor>
  <xdr:twoCellAnchor>
    <xdr:from>
      <xdr:col>22</xdr:col>
      <xdr:colOff>381001</xdr:colOff>
      <xdr:row>29</xdr:row>
      <xdr:rowOff>1</xdr:rowOff>
    </xdr:from>
    <xdr:to>
      <xdr:col>35</xdr:col>
      <xdr:colOff>253515</xdr:colOff>
      <xdr:row>49</xdr:row>
      <xdr:rowOff>1</xdr:rowOff>
    </xdr:to>
    <xdr:graphicFrame macro="">
      <xdr:nvGraphicFramePr>
        <xdr:cNvPr id="70" name="Chart 69">
          <a:extLst>
            <a:ext uri="{FF2B5EF4-FFF2-40B4-BE49-F238E27FC236}">
              <a16:creationId xmlns:a16="http://schemas.microsoft.com/office/drawing/2014/main" id="{2E0E98F4-D584-405C-994E-1C9266B8F0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232834</xdr:colOff>
      <xdr:row>27</xdr:row>
      <xdr:rowOff>84667</xdr:rowOff>
    </xdr:from>
    <xdr:to>
      <xdr:col>20</xdr:col>
      <xdr:colOff>127000</xdr:colOff>
      <xdr:row>48</xdr:row>
      <xdr:rowOff>127000</xdr:rowOff>
    </xdr:to>
    <xdr:graphicFrame macro="">
      <xdr:nvGraphicFramePr>
        <xdr:cNvPr id="71" name="Chart 70">
          <a:extLst>
            <a:ext uri="{FF2B5EF4-FFF2-40B4-BE49-F238E27FC236}">
              <a16:creationId xmlns:a16="http://schemas.microsoft.com/office/drawing/2014/main" id="{A9E7AFC2-A58A-4BCC-BC8A-DB1908BFA4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38</xdr:col>
      <xdr:colOff>232833</xdr:colOff>
      <xdr:row>19</xdr:row>
      <xdr:rowOff>110273</xdr:rowOff>
    </xdr:from>
    <xdr:to>
      <xdr:col>63</xdr:col>
      <xdr:colOff>301897</xdr:colOff>
      <xdr:row>85</xdr:row>
      <xdr:rowOff>121120</xdr:rowOff>
    </xdr:to>
    <xdr:grpSp>
      <xdr:nvGrpSpPr>
        <xdr:cNvPr id="3" name="Group 2">
          <a:extLst>
            <a:ext uri="{FF2B5EF4-FFF2-40B4-BE49-F238E27FC236}">
              <a16:creationId xmlns:a16="http://schemas.microsoft.com/office/drawing/2014/main" id="{1238E78C-CC51-32AE-8BA2-93D264C75708}"/>
            </a:ext>
          </a:extLst>
        </xdr:cNvPr>
        <xdr:cNvGrpSpPr/>
      </xdr:nvGrpSpPr>
      <xdr:grpSpPr>
        <a:xfrm>
          <a:off x="23558500" y="3729773"/>
          <a:ext cx="15414897" cy="12583847"/>
          <a:chOff x="23558500" y="3729773"/>
          <a:chExt cx="15414897" cy="12583847"/>
        </a:xfrm>
      </xdr:grpSpPr>
      <xdr:grpSp>
        <xdr:nvGrpSpPr>
          <xdr:cNvPr id="89" name="Group 92">
            <a:extLst>
              <a:ext uri="{FF2B5EF4-FFF2-40B4-BE49-F238E27FC236}">
                <a16:creationId xmlns:a16="http://schemas.microsoft.com/office/drawing/2014/main" id="{940F7A24-E126-974D-90CB-D062C561D2E4}"/>
              </a:ext>
            </a:extLst>
          </xdr:cNvPr>
          <xdr:cNvGrpSpPr/>
        </xdr:nvGrpSpPr>
        <xdr:grpSpPr>
          <a:xfrm>
            <a:off x="23558500" y="3729773"/>
            <a:ext cx="15414897" cy="12583847"/>
            <a:chOff x="16050846" y="3808378"/>
            <a:chExt cx="6745092" cy="8170631"/>
          </a:xfrm>
        </xdr:grpSpPr>
        <xdr:sp macro="" textlink="">
          <xdr:nvSpPr>
            <xdr:cNvPr id="90" name="Rectangle: Rounded Corners 66">
              <a:extLst>
                <a:ext uri="{FF2B5EF4-FFF2-40B4-BE49-F238E27FC236}">
                  <a16:creationId xmlns:a16="http://schemas.microsoft.com/office/drawing/2014/main" id="{CAD5B91E-E191-879B-F91D-EDE088839331}"/>
                </a:ext>
              </a:extLst>
            </xdr:cNvPr>
            <xdr:cNvSpPr/>
          </xdr:nvSpPr>
          <xdr:spPr>
            <a:xfrm>
              <a:off x="16073197" y="3840849"/>
              <a:ext cx="6722741" cy="8138160"/>
            </a:xfrm>
            <a:prstGeom prst="roundRect">
              <a:avLst>
                <a:gd name="adj" fmla="val 9111"/>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91" name="Group 67">
              <a:extLst>
                <a:ext uri="{FF2B5EF4-FFF2-40B4-BE49-F238E27FC236}">
                  <a16:creationId xmlns:a16="http://schemas.microsoft.com/office/drawing/2014/main" id="{8E219242-6CDD-CBE9-E221-BCD0C9A05B11}"/>
                </a:ext>
              </a:extLst>
            </xdr:cNvPr>
            <xdr:cNvGrpSpPr/>
          </xdr:nvGrpSpPr>
          <xdr:grpSpPr>
            <a:xfrm>
              <a:off x="16050846" y="3808378"/>
              <a:ext cx="6733395" cy="1095776"/>
              <a:chOff x="151607" y="4040255"/>
              <a:chExt cx="11557406" cy="529510"/>
            </a:xfrm>
          </xdr:grpSpPr>
          <xdr:grpSp>
            <xdr:nvGrpSpPr>
              <xdr:cNvPr id="92" name="Group 68">
                <a:extLst>
                  <a:ext uri="{FF2B5EF4-FFF2-40B4-BE49-F238E27FC236}">
                    <a16:creationId xmlns:a16="http://schemas.microsoft.com/office/drawing/2014/main" id="{FD163BB6-01DC-C515-DE71-D79EE93CF91D}"/>
                  </a:ext>
                </a:extLst>
              </xdr:cNvPr>
              <xdr:cNvGrpSpPr/>
            </xdr:nvGrpSpPr>
            <xdr:grpSpPr>
              <a:xfrm>
                <a:off x="151607" y="4040255"/>
                <a:ext cx="11557406" cy="529510"/>
                <a:chOff x="9224835" y="5756747"/>
                <a:chExt cx="8810498" cy="516880"/>
              </a:xfrm>
            </xdr:grpSpPr>
            <xdr:sp macro="" textlink="">
              <xdr:nvSpPr>
                <xdr:cNvPr id="94" name="Rectangle 70">
                  <a:extLst>
                    <a:ext uri="{FF2B5EF4-FFF2-40B4-BE49-F238E27FC236}">
                      <a16:creationId xmlns:a16="http://schemas.microsoft.com/office/drawing/2014/main" id="{8326C386-946B-D81B-9170-9794C3775ED9}"/>
                    </a:ext>
                  </a:extLst>
                </xdr:cNvPr>
                <xdr:cNvSpPr/>
              </xdr:nvSpPr>
              <xdr:spPr>
                <a:xfrm>
                  <a:off x="9250401" y="5910514"/>
                  <a:ext cx="8784932" cy="363113"/>
                </a:xfrm>
                <a:prstGeom prst="rect">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95" name="Rectangle: Rounded Corners 71">
                  <a:extLst>
                    <a:ext uri="{FF2B5EF4-FFF2-40B4-BE49-F238E27FC236}">
                      <a16:creationId xmlns:a16="http://schemas.microsoft.com/office/drawing/2014/main" id="{4F2B225F-39B3-36C5-4044-5D41CE3FDD80}"/>
                    </a:ext>
                  </a:extLst>
                </xdr:cNvPr>
                <xdr:cNvSpPr/>
              </xdr:nvSpPr>
              <xdr:spPr>
                <a:xfrm>
                  <a:off x="9224835" y="5756747"/>
                  <a:ext cx="8798380" cy="447759"/>
                </a:xfrm>
                <a:prstGeom prst="roundRect">
                  <a:avLst>
                    <a:gd name="adj" fmla="val 48582"/>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97" name="TextBox 69">
                <a:extLst>
                  <a:ext uri="{FF2B5EF4-FFF2-40B4-BE49-F238E27FC236}">
                    <a16:creationId xmlns:a16="http://schemas.microsoft.com/office/drawing/2014/main" id="{099BB1F5-9C8A-39A6-CCD5-33E6073C0804}"/>
                  </a:ext>
                </a:extLst>
              </xdr:cNvPr>
              <xdr:cNvSpPr txBox="1"/>
            </xdr:nvSpPr>
            <xdr:spPr>
              <a:xfrm>
                <a:off x="492583" y="4220429"/>
                <a:ext cx="4219977" cy="269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600" b="1">
                    <a:solidFill>
                      <a:schemeClr val="bg1"/>
                    </a:solidFill>
                  </a:rPr>
                  <a:t>Sales</a:t>
                </a:r>
                <a:r>
                  <a:rPr lang="en-US" sz="3600" b="1" baseline="0">
                    <a:solidFill>
                      <a:schemeClr val="bg1"/>
                    </a:solidFill>
                  </a:rPr>
                  <a:t> By State</a:t>
                </a:r>
                <a:endParaRPr lang="en-US" sz="3600" b="1">
                  <a:solidFill>
                    <a:schemeClr val="bg1"/>
                  </a:solidFill>
                </a:endParaRPr>
              </a:p>
            </xdr:txBody>
          </xdr:sp>
        </xdr:grpSp>
      </xdr:grpSp>
      <mc:AlternateContent xmlns:mc="http://schemas.openxmlformats.org/markup-compatibility/2006">
        <mc:Choice xmlns:cx4="http://schemas.microsoft.com/office/drawing/2016/5/10/chartex" Requires="cx4">
          <xdr:graphicFrame macro="">
            <xdr:nvGraphicFramePr>
              <xdr:cNvPr id="72" name="Chart 71">
                <a:extLst>
                  <a:ext uri="{FF2B5EF4-FFF2-40B4-BE49-F238E27FC236}">
                    <a16:creationId xmlns:a16="http://schemas.microsoft.com/office/drawing/2014/main" id="{99F33F27-5359-4F06-9736-F229B48AB216}"/>
                  </a:ext>
                </a:extLst>
              </xdr:cNvPr>
              <xdr:cNvGraphicFramePr/>
            </xdr:nvGraphicFramePr>
            <xdr:xfrm>
              <a:off x="24638001" y="5503333"/>
              <a:ext cx="14202832" cy="9673167"/>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24638001" y="5503333"/>
                <a:ext cx="14202832" cy="967316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grpSp>
    <xdr:clientData/>
  </xdr:twoCellAnchor>
  <xdr:twoCellAnchor>
    <xdr:from>
      <xdr:col>13</xdr:col>
      <xdr:colOff>262064</xdr:colOff>
      <xdr:row>29</xdr:row>
      <xdr:rowOff>80634</xdr:rowOff>
    </xdr:from>
    <xdr:to>
      <xdr:col>14</xdr:col>
      <xdr:colOff>453572</xdr:colOff>
      <xdr:row>31</xdr:row>
      <xdr:rowOff>120952</xdr:rowOff>
    </xdr:to>
    <xdr:sp macro="" textlink="">
      <xdr:nvSpPr>
        <xdr:cNvPr id="74" name="Rectangle 73">
          <a:extLst>
            <a:ext uri="{FF2B5EF4-FFF2-40B4-BE49-F238E27FC236}">
              <a16:creationId xmlns:a16="http://schemas.microsoft.com/office/drawing/2014/main" id="{C7678232-C904-4F91-97E0-8C80C80A3618}"/>
            </a:ext>
          </a:extLst>
        </xdr:cNvPr>
        <xdr:cNvSpPr/>
      </xdr:nvSpPr>
      <xdr:spPr>
        <a:xfrm>
          <a:off x="8123969" y="5342063"/>
          <a:ext cx="796270" cy="4031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a:solidFill>
                <a:schemeClr val="accent6">
                  <a:lumMod val="40000"/>
                  <a:lumOff val="60000"/>
                </a:schemeClr>
              </a:solidFill>
            </a:rPr>
            <a:t>Male</a:t>
          </a:r>
        </a:p>
      </xdr:txBody>
    </xdr:sp>
    <xdr:clientData/>
  </xdr:twoCellAnchor>
  <xdr:twoCellAnchor>
    <xdr:from>
      <xdr:col>33</xdr:col>
      <xdr:colOff>0</xdr:colOff>
      <xdr:row>44</xdr:row>
      <xdr:rowOff>42332</xdr:rowOff>
    </xdr:from>
    <xdr:to>
      <xdr:col>35</xdr:col>
      <xdr:colOff>169332</xdr:colOff>
      <xdr:row>47</xdr:row>
      <xdr:rowOff>105833</xdr:rowOff>
    </xdr:to>
    <xdr:sp macro="" textlink="">
      <xdr:nvSpPr>
        <xdr:cNvPr id="76" name="Rectangle 75">
          <a:extLst>
            <a:ext uri="{FF2B5EF4-FFF2-40B4-BE49-F238E27FC236}">
              <a16:creationId xmlns:a16="http://schemas.microsoft.com/office/drawing/2014/main" id="{A6A2FFE4-FDF6-4510-99FC-FA2B5069F0F2}"/>
            </a:ext>
          </a:extLst>
        </xdr:cNvPr>
        <xdr:cNvSpPr/>
      </xdr:nvSpPr>
      <xdr:spPr>
        <a:xfrm>
          <a:off x="20256500" y="8424332"/>
          <a:ext cx="1396999" cy="63500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a:solidFill>
                <a:schemeClr val="accent6">
                  <a:lumMod val="75000"/>
                </a:schemeClr>
              </a:solidFill>
            </a:rPr>
            <a:t>Female</a:t>
          </a:r>
        </a:p>
      </xdr:txBody>
    </xdr:sp>
    <xdr:clientData/>
  </xdr:twoCellAnchor>
  <xdr:twoCellAnchor>
    <xdr:from>
      <xdr:col>24</xdr:col>
      <xdr:colOff>158750</xdr:colOff>
      <xdr:row>43</xdr:row>
      <xdr:rowOff>63500</xdr:rowOff>
    </xdr:from>
    <xdr:to>
      <xdr:col>26</xdr:col>
      <xdr:colOff>95250</xdr:colOff>
      <xdr:row>46</xdr:row>
      <xdr:rowOff>111125</xdr:rowOff>
    </xdr:to>
    <xdr:sp macro="" textlink="">
      <xdr:nvSpPr>
        <xdr:cNvPr id="112" name="Rectangle 111">
          <a:extLst>
            <a:ext uri="{FF2B5EF4-FFF2-40B4-BE49-F238E27FC236}">
              <a16:creationId xmlns:a16="http://schemas.microsoft.com/office/drawing/2014/main" id="{6C8DF39E-E2B0-59CB-3092-67A57F3C7EC5}"/>
            </a:ext>
          </a:extLst>
        </xdr:cNvPr>
        <xdr:cNvSpPr/>
      </xdr:nvSpPr>
      <xdr:spPr>
        <a:xfrm>
          <a:off x="14636750" y="8255000"/>
          <a:ext cx="1143000" cy="6191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Male</a:t>
          </a:r>
        </a:p>
      </xdr:txBody>
    </xdr:sp>
    <xdr:clientData/>
  </xdr:twoCellAnchor>
  <xdr:twoCellAnchor>
    <xdr:from>
      <xdr:col>24</xdr:col>
      <xdr:colOff>150215</xdr:colOff>
      <xdr:row>44</xdr:row>
      <xdr:rowOff>116075</xdr:rowOff>
    </xdr:from>
    <xdr:to>
      <xdr:col>25</xdr:col>
      <xdr:colOff>382366</xdr:colOff>
      <xdr:row>46</xdr:row>
      <xdr:rowOff>129731</xdr:rowOff>
    </xdr:to>
    <xdr:sp macro="" textlink="">
      <xdr:nvSpPr>
        <xdr:cNvPr id="113" name="Rectangle 112">
          <a:extLst>
            <a:ext uri="{FF2B5EF4-FFF2-40B4-BE49-F238E27FC236}">
              <a16:creationId xmlns:a16="http://schemas.microsoft.com/office/drawing/2014/main" id="{B31E7A24-D2A7-35E4-B475-B8B5B8DFA323}"/>
            </a:ext>
          </a:extLst>
        </xdr:cNvPr>
        <xdr:cNvSpPr/>
      </xdr:nvSpPr>
      <xdr:spPr>
        <a:xfrm>
          <a:off x="14734731" y="8227688"/>
          <a:ext cx="839839" cy="38236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a:solidFill>
                <a:schemeClr val="accent6">
                  <a:lumMod val="60000"/>
                  <a:lumOff val="40000"/>
                </a:schemeClr>
              </a:solidFill>
            </a:rPr>
            <a:t>Male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edara Edward" refreshedDate="45790.716471412037" createdVersion="8" refreshedVersion="8" minRefreshableVersion="3" recordCount="100" xr:uid="{5CC99852-C912-49B7-ACB7-DBD4B6FECF78}">
  <cacheSource type="worksheet">
    <worksheetSource name="SalesData"/>
  </cacheSource>
  <cacheFields count="19">
    <cacheField name="OrderID" numFmtId="0">
      <sharedItems containsSemiMixedTypes="0" containsString="0" containsNumber="1" containsInteger="1" minValue="1001" maxValue="1100"/>
    </cacheField>
    <cacheField name="Date" numFmtId="14">
      <sharedItems containsSemiMixedTypes="0" containsNonDate="0" containsDate="1" containsString="0" minDate="2023-01-05T00:00:00" maxDate="2023-10-18T00:00:00" count="100">
        <d v="2023-01-05T00:00:00"/>
        <d v="2023-01-07T00:00:00"/>
        <d v="2023-01-08T00:00:00"/>
        <d v="2023-01-10T00:00:00"/>
        <d v="2023-01-12T00:00:00"/>
        <d v="2023-01-15T00:00:00"/>
        <d v="2023-01-18T00:00:00"/>
        <d v="2023-01-20T00:00:00"/>
        <d v="2023-01-22T00:00:00"/>
        <d v="2023-01-25T00:00:00"/>
        <d v="2023-01-28T00:00:00"/>
        <d v="2023-01-30T00:00:00"/>
        <d v="2023-02-02T00:00:00"/>
        <d v="2023-02-05T00:00:00"/>
        <d v="2023-02-08T00:00:00"/>
        <d v="2023-02-10T00:00:00"/>
        <d v="2023-02-12T00:00:00"/>
        <d v="2023-02-15T00:00:00"/>
        <d v="2023-02-18T00:00:00"/>
        <d v="2023-02-20T00:00:00"/>
        <d v="2023-02-22T00:00:00"/>
        <d v="2023-02-25T00:00:00"/>
        <d v="2023-02-28T00:00:00"/>
        <d v="2023-03-03T00:00:00"/>
        <d v="2023-03-06T00:00:00"/>
        <d v="2023-03-09T00:00:00"/>
        <d v="2023-03-12T00:00:00"/>
        <d v="2023-03-15T00:00:00"/>
        <d v="2023-03-18T00:00:00"/>
        <d v="2023-03-21T00:00:00"/>
        <d v="2023-03-24T00:00:00"/>
        <d v="2023-03-27T00:00:00"/>
        <d v="2023-03-30T00:00:00"/>
        <d v="2023-04-02T00:00:00"/>
        <d v="2023-04-05T00:00:00"/>
        <d v="2023-04-08T00:00:00"/>
        <d v="2023-04-11T00:00:00"/>
        <d v="2023-04-14T00:00:00"/>
        <d v="2023-04-17T00:00:00"/>
        <d v="2023-04-20T00:00:00"/>
        <d v="2023-04-23T00:00:00"/>
        <d v="2023-04-26T00:00:00"/>
        <d v="2023-04-29T00:00:00"/>
        <d v="2023-05-02T00:00:00"/>
        <d v="2023-05-05T00:00:00"/>
        <d v="2023-05-08T00:00:00"/>
        <d v="2023-05-11T00:00:00"/>
        <d v="2023-05-14T00:00:00"/>
        <d v="2023-05-17T00:00:00"/>
        <d v="2023-05-20T00:00:00"/>
        <d v="2023-05-23T00:00:00"/>
        <d v="2023-05-26T00:00:00"/>
        <d v="2023-05-29T00:00:00"/>
        <d v="2023-06-01T00:00:00"/>
        <d v="2023-06-04T00:00:00"/>
        <d v="2023-06-07T00:00:00"/>
        <d v="2023-06-10T00:00:00"/>
        <d v="2023-06-13T00:00:00"/>
        <d v="2023-06-16T00:00:00"/>
        <d v="2023-06-19T00:00:00"/>
        <d v="2023-06-22T00:00:00"/>
        <d v="2023-06-25T00:00:00"/>
        <d v="2023-06-28T00:00:00"/>
        <d v="2023-07-01T00:00:00"/>
        <d v="2023-07-04T00:00:00"/>
        <d v="2023-07-07T00:00:00"/>
        <d v="2023-07-10T00:00:00"/>
        <d v="2023-07-13T00:00:00"/>
        <d v="2023-07-16T00:00:00"/>
        <d v="2023-07-19T00:00:00"/>
        <d v="2023-07-22T00:00:00"/>
        <d v="2023-07-25T00:00:00"/>
        <d v="2023-07-28T00:00:00"/>
        <d v="2023-07-31T00:00:00"/>
        <d v="2023-08-03T00:00:00"/>
        <d v="2023-08-06T00:00:00"/>
        <d v="2023-08-09T00:00:00"/>
        <d v="2023-08-12T00:00:00"/>
        <d v="2023-08-15T00:00:00"/>
        <d v="2023-08-18T00:00:00"/>
        <d v="2023-08-21T00:00:00"/>
        <d v="2023-08-24T00:00:00"/>
        <d v="2023-08-27T00:00:00"/>
        <d v="2023-08-30T00:00:00"/>
        <d v="2023-09-02T00:00:00"/>
        <d v="2023-09-05T00:00:00"/>
        <d v="2023-09-08T00:00:00"/>
        <d v="2023-09-11T00:00:00"/>
        <d v="2023-09-14T00:00:00"/>
        <d v="2023-09-17T00:00:00"/>
        <d v="2023-09-20T00:00:00"/>
        <d v="2023-09-23T00:00:00"/>
        <d v="2023-09-26T00:00:00"/>
        <d v="2023-09-29T00:00:00"/>
        <d v="2023-10-02T00:00:00"/>
        <d v="2023-10-05T00:00:00"/>
        <d v="2023-10-08T00:00:00"/>
        <d v="2023-10-11T00:00:00"/>
        <d v="2023-10-14T00:00:00"/>
        <d v="2023-10-17T00:00:00"/>
      </sharedItems>
      <fieldGroup par="15"/>
    </cacheField>
    <cacheField name="Country" numFmtId="0">
      <sharedItems/>
    </cacheField>
    <cacheField name="Region" numFmtId="0">
      <sharedItems count="4">
        <s v="North"/>
        <s v="South"/>
        <s v="West"/>
        <s v="East"/>
      </sharedItems>
    </cacheField>
    <cacheField name="State" numFmtId="0">
      <sharedItems count="33">
        <s v="Kano"/>
        <s v="Lagos"/>
        <s v="Ogun"/>
        <s v="Enugu"/>
        <s v="Kaduna"/>
        <s v="Rivers"/>
        <s v="Oyo"/>
        <s v="Anambra"/>
        <s v="Katsina"/>
        <s v="Delta"/>
        <s v="Osun"/>
        <s v="Imo"/>
        <s v="Sokoto"/>
        <s v="Edo"/>
        <s v="Ondo"/>
        <s v="Abia"/>
        <s v="Bauchi"/>
        <s v="Akwa Ibom"/>
        <s v="Ekiti"/>
        <s v="Ebonyi"/>
        <s v="Zamfara"/>
        <s v="Bayelsa"/>
        <s v="Kwara"/>
        <s v="Cross River"/>
        <s v="Borno"/>
        <s v="Plateau"/>
        <s v="Gombe"/>
        <s v="Yobe"/>
        <s v="Jigawa"/>
        <s v="Kebbi"/>
        <s v="Adamawa"/>
        <s v="Taraba"/>
        <s v="Niger"/>
      </sharedItems>
    </cacheField>
    <cacheField name="City" numFmtId="0">
      <sharedItems/>
    </cacheField>
    <cacheField name="ProductCategory" numFmtId="0">
      <sharedItems count="3">
        <s v="Electronics"/>
        <s v="Fashion"/>
        <s v="Home &amp; Kitchen"/>
      </sharedItems>
    </cacheField>
    <cacheField name="ProductType" numFmtId="0">
      <sharedItems count="10">
        <s v="Smartphone"/>
        <s v="Men's Clothing"/>
        <s v="Cookware"/>
        <s v="Laptop"/>
        <s v="Women's Clothing"/>
        <s v="Tablet"/>
        <s v="Furniture"/>
        <s v="Children's Clothing"/>
        <s v="Accessories"/>
        <s v="Appliances"/>
      </sharedItems>
    </cacheField>
    <cacheField name="Gender" numFmtId="0">
      <sharedItems count="2">
        <s v="Male"/>
        <s v="Female"/>
      </sharedItems>
    </cacheField>
    <cacheField name="Age" numFmtId="0">
      <sharedItems containsSemiMixedTypes="0" containsString="0" containsNumber="1" containsInteger="1" minValue="23" maxValue="48"/>
    </cacheField>
    <cacheField name="Quantity" numFmtId="0">
      <sharedItems containsSemiMixedTypes="0" containsString="0" containsNumber="1" containsInteger="1" minValue="1" maxValue="12"/>
    </cacheField>
    <cacheField name="UnitPrice" numFmtId="0">
      <sharedItems containsSemiMixedTypes="0" containsString="0" containsNumber="1" containsInteger="1" minValue="3000" maxValue="180000"/>
    </cacheField>
    <cacheField name="TotalSales" numFmtId="0">
      <sharedItems containsSemiMixedTypes="0" containsString="0" containsNumber="1" containsInteger="1" minValue="15000" maxValue="184000"/>
    </cacheField>
    <cacheField name="Profit" numFmtId="0">
      <sharedItems containsSemiMixedTypes="0" containsString="0" containsNumber="1" containsInteger="1" minValue="3750" maxValue="55200"/>
    </cacheField>
    <cacheField name="Count" numFmtId="0">
      <sharedItems containsString="0" containsBlank="1" containsNumber="1" containsInteger="1" minValue="100" maxValue="100"/>
    </cacheField>
    <cacheField name="Months (Date)" numFmtId="0" databaseField="0">
      <fieldGroup base="1">
        <rangePr groupBy="months" startDate="2023-01-05T00:00:00" endDate="2023-10-18T00:00:00"/>
        <groupItems count="14">
          <s v="&lt;1/5/2023"/>
          <s v="Jan"/>
          <s v="Feb"/>
          <s v="Mar"/>
          <s v="Apr"/>
          <s v="May"/>
          <s v="Jun"/>
          <s v="Jul"/>
          <s v="Aug"/>
          <s v="Sep"/>
          <s v="Oct"/>
          <s v="Nov"/>
          <s v="Dec"/>
          <s v="&gt;10/18/2023"/>
        </groupItems>
      </fieldGroup>
    </cacheField>
    <cacheField name="Field1" numFmtId="0" formula="Profit/TotalSales" databaseField="0"/>
    <cacheField name="Profit Margin" numFmtId="0" formula="Profit/TotalSales" databaseField="0"/>
    <cacheField name="Profit  Margin" numFmtId="0" formula="Profit/TotalSales" databaseField="0"/>
  </cacheFields>
  <extLst>
    <ext xmlns:x14="http://schemas.microsoft.com/office/spreadsheetml/2009/9/main" uri="{725AE2AE-9491-48be-B2B4-4EB974FC3084}">
      <x14:pivotCacheDefinition pivotCacheId="105437797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001"/>
    <x v="0"/>
    <s v="Nigeria"/>
    <x v="0"/>
    <x v="0"/>
    <s v="Kano"/>
    <x v="0"/>
    <x v="0"/>
    <x v="0"/>
    <n v="32"/>
    <n v="2"/>
    <n v="45000"/>
    <n v="90000"/>
    <n v="18000"/>
    <n v="100"/>
  </r>
  <r>
    <n v="1002"/>
    <x v="1"/>
    <s v="Nigeria"/>
    <x v="1"/>
    <x v="1"/>
    <s v="Lagos"/>
    <x v="1"/>
    <x v="1"/>
    <x v="0"/>
    <n v="28"/>
    <n v="1"/>
    <n v="15000"/>
    <n v="15000"/>
    <n v="4500"/>
    <m/>
  </r>
  <r>
    <n v="1003"/>
    <x v="2"/>
    <s v="Nigeria"/>
    <x v="2"/>
    <x v="2"/>
    <s v="Abeokuta"/>
    <x v="2"/>
    <x v="2"/>
    <x v="1"/>
    <n v="41"/>
    <n v="3"/>
    <n v="8000"/>
    <n v="24000"/>
    <n v="7200"/>
    <m/>
  </r>
  <r>
    <n v="1004"/>
    <x v="3"/>
    <s v="Nigeria"/>
    <x v="3"/>
    <x v="3"/>
    <s v="Enugu"/>
    <x v="0"/>
    <x v="3"/>
    <x v="1"/>
    <n v="35"/>
    <n v="1"/>
    <n v="120000"/>
    <n v="120000"/>
    <n v="30000"/>
    <m/>
  </r>
  <r>
    <n v="1005"/>
    <x v="4"/>
    <s v="Nigeria"/>
    <x v="0"/>
    <x v="4"/>
    <s v="Kaduna"/>
    <x v="1"/>
    <x v="4"/>
    <x v="1"/>
    <n v="26"/>
    <n v="2"/>
    <n v="12000"/>
    <n v="24000"/>
    <n v="8400"/>
    <m/>
  </r>
  <r>
    <n v="1006"/>
    <x v="5"/>
    <s v="Nigeria"/>
    <x v="1"/>
    <x v="5"/>
    <s v="Port Harcourt"/>
    <x v="0"/>
    <x v="5"/>
    <x v="0"/>
    <n v="45"/>
    <n v="1"/>
    <n v="65000"/>
    <n v="65000"/>
    <n v="16250"/>
    <m/>
  </r>
  <r>
    <n v="1007"/>
    <x v="6"/>
    <s v="Nigeria"/>
    <x v="2"/>
    <x v="6"/>
    <s v="Ibadan"/>
    <x v="2"/>
    <x v="6"/>
    <x v="1"/>
    <n v="38"/>
    <n v="1"/>
    <n v="95000"/>
    <n v="95000"/>
    <n v="23750"/>
    <m/>
  </r>
  <r>
    <n v="1008"/>
    <x v="7"/>
    <s v="Nigeria"/>
    <x v="3"/>
    <x v="7"/>
    <s v="Awka"/>
    <x v="1"/>
    <x v="7"/>
    <x v="1"/>
    <n v="29"/>
    <n v="4"/>
    <n v="5000"/>
    <n v="20000"/>
    <n v="7000"/>
    <m/>
  </r>
  <r>
    <n v="1009"/>
    <x v="8"/>
    <s v="Nigeria"/>
    <x v="0"/>
    <x v="8"/>
    <s v="Katsina"/>
    <x v="0"/>
    <x v="8"/>
    <x v="0"/>
    <n v="31"/>
    <n v="5"/>
    <n v="3000"/>
    <n v="15000"/>
    <n v="3750"/>
    <m/>
  </r>
  <r>
    <n v="1010"/>
    <x v="9"/>
    <s v="Nigeria"/>
    <x v="1"/>
    <x v="9"/>
    <s v="Asaba"/>
    <x v="1"/>
    <x v="4"/>
    <x v="1"/>
    <n v="33"/>
    <n v="2"/>
    <n v="18000"/>
    <n v="36000"/>
    <n v="12600"/>
    <m/>
  </r>
  <r>
    <n v="1011"/>
    <x v="10"/>
    <s v="Nigeria"/>
    <x v="2"/>
    <x v="10"/>
    <s v="Osogbo"/>
    <x v="0"/>
    <x v="0"/>
    <x v="0"/>
    <n v="27"/>
    <n v="1"/>
    <n v="48000"/>
    <n v="48000"/>
    <n v="12000"/>
    <m/>
  </r>
  <r>
    <n v="1012"/>
    <x v="11"/>
    <s v="Nigeria"/>
    <x v="3"/>
    <x v="11"/>
    <s v="Owerri"/>
    <x v="2"/>
    <x v="9"/>
    <x v="1"/>
    <n v="44"/>
    <n v="1"/>
    <n v="75000"/>
    <n v="75000"/>
    <n v="18750"/>
    <m/>
  </r>
  <r>
    <n v="1013"/>
    <x v="12"/>
    <s v="Nigeria"/>
    <x v="0"/>
    <x v="12"/>
    <s v="Sokoto"/>
    <x v="1"/>
    <x v="1"/>
    <x v="0"/>
    <n v="36"/>
    <n v="3"/>
    <n v="12000"/>
    <n v="36000"/>
    <n v="10800"/>
    <m/>
  </r>
  <r>
    <n v="1014"/>
    <x v="13"/>
    <s v="Nigeria"/>
    <x v="1"/>
    <x v="13"/>
    <s v="Benin City"/>
    <x v="0"/>
    <x v="3"/>
    <x v="1"/>
    <n v="39"/>
    <n v="1"/>
    <n v="115000"/>
    <n v="115000"/>
    <n v="28750"/>
    <m/>
  </r>
  <r>
    <n v="1015"/>
    <x v="14"/>
    <s v="Nigeria"/>
    <x v="2"/>
    <x v="14"/>
    <s v="Akure"/>
    <x v="1"/>
    <x v="4"/>
    <x v="1"/>
    <n v="30"/>
    <n v="2"/>
    <n v="20000"/>
    <n v="40000"/>
    <n v="14000"/>
    <m/>
  </r>
  <r>
    <n v="1016"/>
    <x v="15"/>
    <s v="Nigeria"/>
    <x v="3"/>
    <x v="15"/>
    <s v="Umuahia"/>
    <x v="2"/>
    <x v="2"/>
    <x v="0"/>
    <n v="42"/>
    <n v="4"/>
    <n v="8500"/>
    <n v="34000"/>
    <n v="10200"/>
    <m/>
  </r>
  <r>
    <n v="1017"/>
    <x v="16"/>
    <s v="Nigeria"/>
    <x v="0"/>
    <x v="16"/>
    <s v="Bauchi"/>
    <x v="0"/>
    <x v="5"/>
    <x v="1"/>
    <n v="37"/>
    <n v="1"/>
    <n v="62000"/>
    <n v="62000"/>
    <n v="15500"/>
    <m/>
  </r>
  <r>
    <n v="1018"/>
    <x v="17"/>
    <s v="Nigeria"/>
    <x v="1"/>
    <x v="17"/>
    <s v="Uyo"/>
    <x v="1"/>
    <x v="7"/>
    <x v="0"/>
    <n v="25"/>
    <n v="3"/>
    <n v="6000"/>
    <n v="18000"/>
    <n v="6300"/>
    <m/>
  </r>
  <r>
    <n v="1019"/>
    <x v="18"/>
    <s v="Nigeria"/>
    <x v="2"/>
    <x v="18"/>
    <s v="Ado-Ekiti"/>
    <x v="2"/>
    <x v="6"/>
    <x v="1"/>
    <n v="43"/>
    <n v="1"/>
    <n v="110000"/>
    <n v="110000"/>
    <n v="27500"/>
    <m/>
  </r>
  <r>
    <n v="1020"/>
    <x v="19"/>
    <s v="Nigeria"/>
    <x v="3"/>
    <x v="19"/>
    <s v="Abakaliki"/>
    <x v="0"/>
    <x v="8"/>
    <x v="0"/>
    <n v="34"/>
    <n v="6"/>
    <n v="3500"/>
    <n v="21000"/>
    <n v="5250"/>
    <m/>
  </r>
  <r>
    <n v="1021"/>
    <x v="20"/>
    <s v="Nigeria"/>
    <x v="0"/>
    <x v="20"/>
    <s v="Gusau"/>
    <x v="1"/>
    <x v="1"/>
    <x v="0"/>
    <n v="40"/>
    <n v="2"/>
    <n v="14000"/>
    <n v="28000"/>
    <n v="8400"/>
    <m/>
  </r>
  <r>
    <n v="1022"/>
    <x v="21"/>
    <s v="Nigeria"/>
    <x v="1"/>
    <x v="21"/>
    <s v="Yenagoa"/>
    <x v="0"/>
    <x v="0"/>
    <x v="1"/>
    <n v="31"/>
    <n v="1"/>
    <n v="46000"/>
    <n v="46000"/>
    <n v="11500"/>
    <m/>
  </r>
  <r>
    <n v="1023"/>
    <x v="22"/>
    <s v="Nigeria"/>
    <x v="2"/>
    <x v="22"/>
    <s v="Ilorin"/>
    <x v="2"/>
    <x v="9"/>
    <x v="0"/>
    <n v="46"/>
    <n v="1"/>
    <n v="80000"/>
    <n v="80000"/>
    <n v="20000"/>
    <m/>
  </r>
  <r>
    <n v="1024"/>
    <x v="23"/>
    <s v="Nigeria"/>
    <x v="3"/>
    <x v="23"/>
    <s v="Calabar"/>
    <x v="1"/>
    <x v="4"/>
    <x v="1"/>
    <n v="28"/>
    <n v="3"/>
    <n v="17000"/>
    <n v="51000"/>
    <n v="17850"/>
    <m/>
  </r>
  <r>
    <n v="1025"/>
    <x v="24"/>
    <s v="Nigeria"/>
    <x v="0"/>
    <x v="24"/>
    <s v="Maiduguri"/>
    <x v="0"/>
    <x v="3"/>
    <x v="0"/>
    <n v="33"/>
    <n v="1"/>
    <n v="125000"/>
    <n v="125000"/>
    <n v="31250"/>
    <m/>
  </r>
  <r>
    <n v="1026"/>
    <x v="25"/>
    <s v="Nigeria"/>
    <x v="1"/>
    <x v="1"/>
    <s v="Lagos"/>
    <x v="1"/>
    <x v="7"/>
    <x v="1"/>
    <n v="24"/>
    <n v="5"/>
    <n v="5500"/>
    <n v="27500"/>
    <n v="9625"/>
    <m/>
  </r>
  <r>
    <n v="1027"/>
    <x v="26"/>
    <s v="Nigeria"/>
    <x v="2"/>
    <x v="2"/>
    <s v="Abeokuta"/>
    <x v="2"/>
    <x v="2"/>
    <x v="0"/>
    <n v="47"/>
    <n v="2"/>
    <n v="9000"/>
    <n v="18000"/>
    <n v="5400"/>
    <m/>
  </r>
  <r>
    <n v="1028"/>
    <x v="27"/>
    <s v="Nigeria"/>
    <x v="3"/>
    <x v="3"/>
    <s v="Enugu"/>
    <x v="0"/>
    <x v="5"/>
    <x v="1"/>
    <n v="36"/>
    <n v="1"/>
    <n v="68000"/>
    <n v="68000"/>
    <n v="17000"/>
    <m/>
  </r>
  <r>
    <n v="1029"/>
    <x v="28"/>
    <s v="Nigeria"/>
    <x v="0"/>
    <x v="25"/>
    <s v="Jos"/>
    <x v="1"/>
    <x v="1"/>
    <x v="0"/>
    <n v="29"/>
    <n v="4"/>
    <n v="11000"/>
    <n v="44000"/>
    <n v="13200"/>
    <m/>
  </r>
  <r>
    <n v="1030"/>
    <x v="29"/>
    <s v="Nigeria"/>
    <x v="1"/>
    <x v="5"/>
    <s v="Port Harcourt"/>
    <x v="2"/>
    <x v="6"/>
    <x v="1"/>
    <n v="42"/>
    <n v="1"/>
    <n v="105000"/>
    <n v="105000"/>
    <n v="26250"/>
    <m/>
  </r>
  <r>
    <n v="1031"/>
    <x v="30"/>
    <s v="Nigeria"/>
    <x v="2"/>
    <x v="6"/>
    <s v="Ibadan"/>
    <x v="0"/>
    <x v="8"/>
    <x v="0"/>
    <n v="35"/>
    <n v="7"/>
    <n v="4000"/>
    <n v="28000"/>
    <n v="7000"/>
    <m/>
  </r>
  <r>
    <n v="1032"/>
    <x v="31"/>
    <s v="Nigeria"/>
    <x v="3"/>
    <x v="7"/>
    <s v="Awka"/>
    <x v="1"/>
    <x v="4"/>
    <x v="1"/>
    <n v="30"/>
    <n v="2"/>
    <n v="19000"/>
    <n v="38000"/>
    <n v="13300"/>
    <m/>
  </r>
  <r>
    <n v="1033"/>
    <x v="32"/>
    <s v="Nigeria"/>
    <x v="0"/>
    <x v="26"/>
    <s v="Gombe"/>
    <x v="0"/>
    <x v="0"/>
    <x v="0"/>
    <n v="38"/>
    <n v="1"/>
    <n v="47000"/>
    <n v="47000"/>
    <n v="11750"/>
    <m/>
  </r>
  <r>
    <n v="1034"/>
    <x v="33"/>
    <s v="Nigeria"/>
    <x v="1"/>
    <x v="9"/>
    <s v="Asaba"/>
    <x v="2"/>
    <x v="9"/>
    <x v="1"/>
    <n v="45"/>
    <n v="1"/>
    <n v="85000"/>
    <n v="85000"/>
    <n v="21250"/>
    <m/>
  </r>
  <r>
    <n v="1035"/>
    <x v="34"/>
    <s v="Nigeria"/>
    <x v="2"/>
    <x v="10"/>
    <s v="Osogbo"/>
    <x v="1"/>
    <x v="7"/>
    <x v="0"/>
    <n v="26"/>
    <n v="4"/>
    <n v="6500"/>
    <n v="26000"/>
    <n v="9100"/>
    <m/>
  </r>
  <r>
    <n v="1036"/>
    <x v="35"/>
    <s v="Nigeria"/>
    <x v="3"/>
    <x v="11"/>
    <s v="Owerri"/>
    <x v="0"/>
    <x v="3"/>
    <x v="1"/>
    <n v="39"/>
    <n v="1"/>
    <n v="118000"/>
    <n v="118000"/>
    <n v="29500"/>
    <m/>
  </r>
  <r>
    <n v="1037"/>
    <x v="36"/>
    <s v="Nigeria"/>
    <x v="0"/>
    <x v="27"/>
    <s v="Damaturu"/>
    <x v="1"/>
    <x v="1"/>
    <x v="0"/>
    <n v="41"/>
    <n v="3"/>
    <n v="13000"/>
    <n v="39000"/>
    <n v="11700"/>
    <m/>
  </r>
  <r>
    <n v="1038"/>
    <x v="37"/>
    <s v="Nigeria"/>
    <x v="1"/>
    <x v="13"/>
    <s v="Benin City"/>
    <x v="2"/>
    <x v="2"/>
    <x v="1"/>
    <n v="32"/>
    <n v="5"/>
    <n v="9500"/>
    <n v="47500"/>
    <n v="14250"/>
    <m/>
  </r>
  <r>
    <n v="1039"/>
    <x v="38"/>
    <s v="Nigeria"/>
    <x v="2"/>
    <x v="14"/>
    <s v="Akure"/>
    <x v="0"/>
    <x v="5"/>
    <x v="0"/>
    <n v="34"/>
    <n v="1"/>
    <n v="70000"/>
    <n v="70000"/>
    <n v="17500"/>
    <m/>
  </r>
  <r>
    <n v="1040"/>
    <x v="39"/>
    <s v="Nigeria"/>
    <x v="3"/>
    <x v="15"/>
    <s v="Umuahia"/>
    <x v="1"/>
    <x v="4"/>
    <x v="1"/>
    <n v="27"/>
    <n v="2"/>
    <n v="21000"/>
    <n v="42000"/>
    <n v="14700"/>
    <m/>
  </r>
  <r>
    <n v="1041"/>
    <x v="40"/>
    <s v="Nigeria"/>
    <x v="0"/>
    <x v="28"/>
    <s v="Dutse"/>
    <x v="2"/>
    <x v="6"/>
    <x v="0"/>
    <n v="44"/>
    <n v="1"/>
    <n v="115000"/>
    <n v="115000"/>
    <n v="28750"/>
    <m/>
  </r>
  <r>
    <n v="1042"/>
    <x v="41"/>
    <s v="Nigeria"/>
    <x v="1"/>
    <x v="17"/>
    <s v="Uyo"/>
    <x v="0"/>
    <x v="8"/>
    <x v="1"/>
    <n v="31"/>
    <n v="8"/>
    <n v="4500"/>
    <n v="36000"/>
    <n v="9000"/>
    <m/>
  </r>
  <r>
    <n v="1043"/>
    <x v="42"/>
    <s v="Nigeria"/>
    <x v="2"/>
    <x v="18"/>
    <s v="Ado-Ekiti"/>
    <x v="1"/>
    <x v="7"/>
    <x v="0"/>
    <n v="23"/>
    <n v="6"/>
    <n v="7000"/>
    <n v="42000"/>
    <n v="14700"/>
    <m/>
  </r>
  <r>
    <n v="1044"/>
    <x v="43"/>
    <s v="Nigeria"/>
    <x v="3"/>
    <x v="19"/>
    <s v="Abakaliki"/>
    <x v="0"/>
    <x v="0"/>
    <x v="1"/>
    <n v="37"/>
    <n v="1"/>
    <n v="49000"/>
    <n v="49000"/>
    <n v="12250"/>
    <m/>
  </r>
  <r>
    <n v="1045"/>
    <x v="44"/>
    <s v="Nigeria"/>
    <x v="0"/>
    <x v="29"/>
    <s v="Birnin Kebbi"/>
    <x v="2"/>
    <x v="9"/>
    <x v="0"/>
    <n v="46"/>
    <n v="1"/>
    <n v="90000"/>
    <n v="90000"/>
    <n v="22500"/>
    <m/>
  </r>
  <r>
    <n v="1046"/>
    <x v="45"/>
    <s v="Nigeria"/>
    <x v="1"/>
    <x v="21"/>
    <s v="Yenagoa"/>
    <x v="1"/>
    <x v="1"/>
    <x v="1"/>
    <n v="33"/>
    <n v="2"/>
    <n v="15000"/>
    <n v="30000"/>
    <n v="9000"/>
    <m/>
  </r>
  <r>
    <n v="1047"/>
    <x v="46"/>
    <s v="Nigeria"/>
    <x v="2"/>
    <x v="22"/>
    <s v="Ilorin"/>
    <x v="0"/>
    <x v="3"/>
    <x v="0"/>
    <n v="40"/>
    <n v="1"/>
    <n v="122000"/>
    <n v="122000"/>
    <n v="30500"/>
    <m/>
  </r>
  <r>
    <n v="1048"/>
    <x v="47"/>
    <s v="Nigeria"/>
    <x v="3"/>
    <x v="23"/>
    <s v="Calabar"/>
    <x v="2"/>
    <x v="2"/>
    <x v="1"/>
    <n v="43"/>
    <n v="3"/>
    <n v="10000"/>
    <n v="30000"/>
    <n v="9000"/>
    <m/>
  </r>
  <r>
    <n v="1049"/>
    <x v="48"/>
    <s v="Nigeria"/>
    <x v="0"/>
    <x v="30"/>
    <s v="Yola"/>
    <x v="1"/>
    <x v="4"/>
    <x v="1"/>
    <n v="28"/>
    <n v="4"/>
    <n v="16000"/>
    <n v="64000"/>
    <n v="22400"/>
    <m/>
  </r>
  <r>
    <n v="1050"/>
    <x v="49"/>
    <s v="Nigeria"/>
    <x v="1"/>
    <x v="1"/>
    <s v="Lagos"/>
    <x v="0"/>
    <x v="5"/>
    <x v="0"/>
    <n v="35"/>
    <n v="1"/>
    <n v="72000"/>
    <n v="72000"/>
    <n v="18000"/>
    <m/>
  </r>
  <r>
    <n v="1051"/>
    <x v="50"/>
    <s v="Nigeria"/>
    <x v="2"/>
    <x v="2"/>
    <s v="Abeokuta"/>
    <x v="1"/>
    <x v="7"/>
    <x v="1"/>
    <n v="25"/>
    <n v="5"/>
    <n v="7500"/>
    <n v="37500"/>
    <n v="13125"/>
    <m/>
  </r>
  <r>
    <n v="1052"/>
    <x v="51"/>
    <s v="Nigeria"/>
    <x v="3"/>
    <x v="3"/>
    <s v="Enugu"/>
    <x v="2"/>
    <x v="6"/>
    <x v="0"/>
    <n v="48"/>
    <n v="1"/>
    <n v="125000"/>
    <n v="125000"/>
    <n v="31250"/>
    <m/>
  </r>
  <r>
    <n v="1053"/>
    <x v="52"/>
    <s v="Nigeria"/>
    <x v="0"/>
    <x v="31"/>
    <s v="Jalingo"/>
    <x v="0"/>
    <x v="8"/>
    <x v="1"/>
    <n v="32"/>
    <n v="9"/>
    <n v="5000"/>
    <n v="45000"/>
    <n v="11250"/>
    <m/>
  </r>
  <r>
    <n v="1054"/>
    <x v="53"/>
    <s v="Nigeria"/>
    <x v="1"/>
    <x v="5"/>
    <s v="Port Harcourt"/>
    <x v="1"/>
    <x v="1"/>
    <x v="0"/>
    <n v="39"/>
    <n v="3"/>
    <n v="17000"/>
    <n v="51000"/>
    <n v="15300"/>
    <m/>
  </r>
  <r>
    <n v="1055"/>
    <x v="54"/>
    <s v="Nigeria"/>
    <x v="2"/>
    <x v="6"/>
    <s v="Ibadan"/>
    <x v="2"/>
    <x v="9"/>
    <x v="1"/>
    <n v="45"/>
    <n v="1"/>
    <n v="95000"/>
    <n v="95000"/>
    <n v="23750"/>
    <m/>
  </r>
  <r>
    <n v="1056"/>
    <x v="55"/>
    <s v="Nigeria"/>
    <x v="3"/>
    <x v="7"/>
    <s v="Awka"/>
    <x v="0"/>
    <x v="0"/>
    <x v="0"/>
    <n v="36"/>
    <n v="1"/>
    <n v="50000"/>
    <n v="50000"/>
    <n v="12500"/>
    <m/>
  </r>
  <r>
    <n v="1057"/>
    <x v="56"/>
    <s v="Nigeria"/>
    <x v="0"/>
    <x v="32"/>
    <s v="Minna"/>
    <x v="1"/>
    <x v="4"/>
    <x v="1"/>
    <n v="29"/>
    <n v="2"/>
    <n v="22000"/>
    <n v="44000"/>
    <n v="15400"/>
    <m/>
  </r>
  <r>
    <n v="1058"/>
    <x v="57"/>
    <s v="Nigeria"/>
    <x v="1"/>
    <x v="9"/>
    <s v="Asaba"/>
    <x v="2"/>
    <x v="2"/>
    <x v="0"/>
    <n v="42"/>
    <n v="4"/>
    <n v="11000"/>
    <n v="44000"/>
    <n v="13200"/>
    <m/>
  </r>
  <r>
    <n v="1059"/>
    <x v="58"/>
    <s v="Nigeria"/>
    <x v="2"/>
    <x v="10"/>
    <s v="Osogbo"/>
    <x v="0"/>
    <x v="3"/>
    <x v="1"/>
    <n v="38"/>
    <n v="1"/>
    <n v="130000"/>
    <n v="130000"/>
    <n v="32500"/>
    <m/>
  </r>
  <r>
    <n v="1060"/>
    <x v="59"/>
    <s v="Nigeria"/>
    <x v="3"/>
    <x v="11"/>
    <s v="Owerri"/>
    <x v="1"/>
    <x v="7"/>
    <x v="0"/>
    <n v="24"/>
    <n v="6"/>
    <n v="8000"/>
    <n v="48000"/>
    <n v="16800"/>
    <m/>
  </r>
  <r>
    <n v="1061"/>
    <x v="60"/>
    <s v="Nigeria"/>
    <x v="0"/>
    <x v="0"/>
    <s v="Kano"/>
    <x v="2"/>
    <x v="6"/>
    <x v="1"/>
    <n v="47"/>
    <n v="1"/>
    <n v="140000"/>
    <n v="140000"/>
    <n v="35000"/>
    <m/>
  </r>
  <r>
    <n v="1062"/>
    <x v="61"/>
    <s v="Nigeria"/>
    <x v="1"/>
    <x v="13"/>
    <s v="Benin City"/>
    <x v="0"/>
    <x v="5"/>
    <x v="0"/>
    <n v="34"/>
    <n v="1"/>
    <n v="75000"/>
    <n v="75000"/>
    <n v="18750"/>
    <m/>
  </r>
  <r>
    <n v="1063"/>
    <x v="62"/>
    <s v="Nigeria"/>
    <x v="2"/>
    <x v="14"/>
    <s v="Akure"/>
    <x v="1"/>
    <x v="1"/>
    <x v="1"/>
    <n v="31"/>
    <n v="4"/>
    <n v="19000"/>
    <n v="76000"/>
    <n v="22800"/>
    <m/>
  </r>
  <r>
    <n v="1064"/>
    <x v="63"/>
    <s v="Nigeria"/>
    <x v="3"/>
    <x v="15"/>
    <s v="Umuahia"/>
    <x v="2"/>
    <x v="9"/>
    <x v="0"/>
    <n v="43"/>
    <n v="1"/>
    <n v="105000"/>
    <n v="105000"/>
    <n v="26250"/>
    <m/>
  </r>
  <r>
    <n v="1065"/>
    <x v="64"/>
    <s v="Nigeria"/>
    <x v="0"/>
    <x v="4"/>
    <s v="Kaduna"/>
    <x v="0"/>
    <x v="8"/>
    <x v="1"/>
    <n v="35"/>
    <n v="10"/>
    <n v="5500"/>
    <n v="55000"/>
    <n v="13750"/>
    <m/>
  </r>
  <r>
    <n v="1066"/>
    <x v="65"/>
    <s v="Nigeria"/>
    <x v="1"/>
    <x v="17"/>
    <s v="Uyo"/>
    <x v="1"/>
    <x v="4"/>
    <x v="1"/>
    <n v="30"/>
    <n v="3"/>
    <n v="23000"/>
    <n v="69000"/>
    <n v="24150"/>
    <m/>
  </r>
  <r>
    <n v="1067"/>
    <x v="66"/>
    <s v="Nigeria"/>
    <x v="2"/>
    <x v="18"/>
    <s v="Ado-Ekiti"/>
    <x v="2"/>
    <x v="2"/>
    <x v="0"/>
    <n v="46"/>
    <n v="5"/>
    <n v="12000"/>
    <n v="60000"/>
    <n v="18000"/>
    <m/>
  </r>
  <r>
    <n v="1068"/>
    <x v="67"/>
    <s v="Nigeria"/>
    <x v="3"/>
    <x v="19"/>
    <s v="Abakaliki"/>
    <x v="0"/>
    <x v="0"/>
    <x v="1"/>
    <n v="37"/>
    <n v="1"/>
    <n v="52000"/>
    <n v="52000"/>
    <n v="13000"/>
    <m/>
  </r>
  <r>
    <n v="1069"/>
    <x v="68"/>
    <s v="Nigeria"/>
    <x v="0"/>
    <x v="8"/>
    <s v="Katsina"/>
    <x v="1"/>
    <x v="7"/>
    <x v="0"/>
    <n v="25"/>
    <n v="7"/>
    <n v="8500"/>
    <n v="59500"/>
    <n v="20825"/>
    <m/>
  </r>
  <r>
    <n v="1070"/>
    <x v="69"/>
    <s v="Nigeria"/>
    <x v="1"/>
    <x v="21"/>
    <s v="Yenagoa"/>
    <x v="2"/>
    <x v="6"/>
    <x v="1"/>
    <n v="44"/>
    <n v="1"/>
    <n v="150000"/>
    <n v="150000"/>
    <n v="37500"/>
    <m/>
  </r>
  <r>
    <n v="1071"/>
    <x v="70"/>
    <s v="Nigeria"/>
    <x v="2"/>
    <x v="22"/>
    <s v="Ilorin"/>
    <x v="0"/>
    <x v="3"/>
    <x v="0"/>
    <n v="39"/>
    <n v="1"/>
    <n v="135000"/>
    <n v="135000"/>
    <n v="33750"/>
    <m/>
  </r>
  <r>
    <n v="1072"/>
    <x v="71"/>
    <s v="Nigeria"/>
    <x v="3"/>
    <x v="23"/>
    <s v="Calabar"/>
    <x v="1"/>
    <x v="1"/>
    <x v="1"/>
    <n v="32"/>
    <n v="5"/>
    <n v="20000"/>
    <n v="100000"/>
    <n v="30000"/>
    <m/>
  </r>
  <r>
    <n v="1073"/>
    <x v="72"/>
    <s v="Nigeria"/>
    <x v="0"/>
    <x v="12"/>
    <s v="Sokoto"/>
    <x v="2"/>
    <x v="9"/>
    <x v="0"/>
    <n v="48"/>
    <n v="1"/>
    <n v="115000"/>
    <n v="115000"/>
    <n v="28750"/>
    <m/>
  </r>
  <r>
    <n v="1074"/>
    <x v="73"/>
    <s v="Nigeria"/>
    <x v="1"/>
    <x v="1"/>
    <s v="Lagos"/>
    <x v="0"/>
    <x v="5"/>
    <x v="1"/>
    <n v="36"/>
    <n v="1"/>
    <n v="78000"/>
    <n v="78000"/>
    <n v="19500"/>
    <m/>
  </r>
  <r>
    <n v="1075"/>
    <x v="74"/>
    <s v="Nigeria"/>
    <x v="2"/>
    <x v="2"/>
    <s v="Abeokuta"/>
    <x v="1"/>
    <x v="4"/>
    <x v="1"/>
    <n v="28"/>
    <n v="4"/>
    <n v="24000"/>
    <n v="96000"/>
    <n v="33600"/>
    <m/>
  </r>
  <r>
    <n v="1076"/>
    <x v="75"/>
    <s v="Nigeria"/>
    <x v="3"/>
    <x v="3"/>
    <s v="Enugu"/>
    <x v="2"/>
    <x v="2"/>
    <x v="0"/>
    <n v="42"/>
    <n v="6"/>
    <n v="13000"/>
    <n v="78000"/>
    <n v="23400"/>
    <m/>
  </r>
  <r>
    <n v="1077"/>
    <x v="76"/>
    <s v="Nigeria"/>
    <x v="0"/>
    <x v="16"/>
    <s v="Bauchi"/>
    <x v="0"/>
    <x v="8"/>
    <x v="1"/>
    <n v="34"/>
    <n v="11"/>
    <n v="6000"/>
    <n v="66000"/>
    <n v="16500"/>
    <m/>
  </r>
  <r>
    <n v="1078"/>
    <x v="77"/>
    <s v="Nigeria"/>
    <x v="1"/>
    <x v="5"/>
    <s v="Port Harcourt"/>
    <x v="1"/>
    <x v="7"/>
    <x v="0"/>
    <n v="23"/>
    <n v="8"/>
    <n v="9000"/>
    <n v="72000"/>
    <n v="25200"/>
    <m/>
  </r>
  <r>
    <n v="1079"/>
    <x v="78"/>
    <s v="Nigeria"/>
    <x v="2"/>
    <x v="6"/>
    <s v="Ibadan"/>
    <x v="2"/>
    <x v="6"/>
    <x v="1"/>
    <n v="45"/>
    <n v="1"/>
    <n v="160000"/>
    <n v="160000"/>
    <n v="40000"/>
    <m/>
  </r>
  <r>
    <n v="1080"/>
    <x v="79"/>
    <s v="Nigeria"/>
    <x v="3"/>
    <x v="7"/>
    <s v="Awka"/>
    <x v="0"/>
    <x v="0"/>
    <x v="0"/>
    <n v="38"/>
    <n v="1"/>
    <n v="54000"/>
    <n v="54000"/>
    <n v="13500"/>
    <m/>
  </r>
  <r>
    <n v="1081"/>
    <x v="80"/>
    <s v="Nigeria"/>
    <x v="0"/>
    <x v="20"/>
    <s v="Gusau"/>
    <x v="1"/>
    <x v="1"/>
    <x v="1"/>
    <n v="31"/>
    <n v="6"/>
    <n v="21000"/>
    <n v="126000"/>
    <n v="37800"/>
    <m/>
  </r>
  <r>
    <n v="1082"/>
    <x v="81"/>
    <s v="Nigeria"/>
    <x v="1"/>
    <x v="9"/>
    <s v="Asaba"/>
    <x v="2"/>
    <x v="9"/>
    <x v="0"/>
    <n v="43"/>
    <n v="1"/>
    <n v="125000"/>
    <n v="125000"/>
    <n v="31250"/>
    <m/>
  </r>
  <r>
    <n v="1083"/>
    <x v="82"/>
    <s v="Nigeria"/>
    <x v="2"/>
    <x v="10"/>
    <s v="Osogbo"/>
    <x v="0"/>
    <x v="3"/>
    <x v="1"/>
    <n v="37"/>
    <n v="1"/>
    <n v="140000"/>
    <n v="140000"/>
    <n v="35000"/>
    <m/>
  </r>
  <r>
    <n v="1084"/>
    <x v="83"/>
    <s v="Nigeria"/>
    <x v="3"/>
    <x v="11"/>
    <s v="Owerri"/>
    <x v="1"/>
    <x v="4"/>
    <x v="1"/>
    <n v="29"/>
    <n v="5"/>
    <n v="25000"/>
    <n v="125000"/>
    <n v="43750"/>
    <m/>
  </r>
  <r>
    <n v="1085"/>
    <x v="84"/>
    <s v="Nigeria"/>
    <x v="0"/>
    <x v="24"/>
    <s v="Maiduguri"/>
    <x v="2"/>
    <x v="2"/>
    <x v="0"/>
    <n v="46"/>
    <n v="7"/>
    <n v="14000"/>
    <n v="98000"/>
    <n v="29400"/>
    <m/>
  </r>
  <r>
    <n v="1086"/>
    <x v="85"/>
    <s v="Nigeria"/>
    <x v="1"/>
    <x v="13"/>
    <s v="Benin City"/>
    <x v="0"/>
    <x v="5"/>
    <x v="1"/>
    <n v="35"/>
    <n v="1"/>
    <n v="80000"/>
    <n v="80000"/>
    <n v="20000"/>
    <m/>
  </r>
  <r>
    <n v="1087"/>
    <x v="86"/>
    <s v="Nigeria"/>
    <x v="2"/>
    <x v="14"/>
    <s v="Akure"/>
    <x v="1"/>
    <x v="7"/>
    <x v="0"/>
    <n v="24"/>
    <n v="9"/>
    <n v="9500"/>
    <n v="85500"/>
    <n v="29925"/>
    <m/>
  </r>
  <r>
    <n v="1088"/>
    <x v="87"/>
    <s v="Nigeria"/>
    <x v="3"/>
    <x v="15"/>
    <s v="Umuahia"/>
    <x v="2"/>
    <x v="6"/>
    <x v="1"/>
    <n v="44"/>
    <n v="1"/>
    <n v="170000"/>
    <n v="170000"/>
    <n v="42500"/>
    <m/>
  </r>
  <r>
    <n v="1089"/>
    <x v="88"/>
    <s v="Nigeria"/>
    <x v="0"/>
    <x v="25"/>
    <s v="Jos"/>
    <x v="0"/>
    <x v="8"/>
    <x v="0"/>
    <n v="39"/>
    <n v="12"/>
    <n v="6500"/>
    <n v="78000"/>
    <n v="19500"/>
    <m/>
  </r>
  <r>
    <n v="1090"/>
    <x v="89"/>
    <s v="Nigeria"/>
    <x v="1"/>
    <x v="17"/>
    <s v="Uyo"/>
    <x v="1"/>
    <x v="1"/>
    <x v="1"/>
    <n v="32"/>
    <n v="7"/>
    <n v="22000"/>
    <n v="154000"/>
    <n v="46200"/>
    <m/>
  </r>
  <r>
    <n v="1091"/>
    <x v="90"/>
    <s v="Nigeria"/>
    <x v="2"/>
    <x v="18"/>
    <s v="Ado-Ekiti"/>
    <x v="2"/>
    <x v="9"/>
    <x v="0"/>
    <n v="47"/>
    <n v="1"/>
    <n v="135000"/>
    <n v="135000"/>
    <n v="33750"/>
    <m/>
  </r>
  <r>
    <n v="1092"/>
    <x v="91"/>
    <s v="Nigeria"/>
    <x v="3"/>
    <x v="19"/>
    <s v="Abakaliki"/>
    <x v="0"/>
    <x v="0"/>
    <x v="1"/>
    <n v="36"/>
    <n v="1"/>
    <n v="56000"/>
    <n v="56000"/>
    <n v="14000"/>
    <m/>
  </r>
  <r>
    <n v="1093"/>
    <x v="92"/>
    <s v="Nigeria"/>
    <x v="0"/>
    <x v="26"/>
    <s v="Gombe"/>
    <x v="1"/>
    <x v="4"/>
    <x v="1"/>
    <n v="27"/>
    <n v="6"/>
    <n v="26000"/>
    <n v="156000"/>
    <n v="54600"/>
    <m/>
  </r>
  <r>
    <n v="1094"/>
    <x v="93"/>
    <s v="Nigeria"/>
    <x v="1"/>
    <x v="21"/>
    <s v="Yenagoa"/>
    <x v="2"/>
    <x v="2"/>
    <x v="0"/>
    <n v="41"/>
    <n v="8"/>
    <n v="15000"/>
    <n v="120000"/>
    <n v="36000"/>
    <m/>
  </r>
  <r>
    <n v="1095"/>
    <x v="94"/>
    <s v="Nigeria"/>
    <x v="2"/>
    <x v="22"/>
    <s v="Ilorin"/>
    <x v="0"/>
    <x v="3"/>
    <x v="1"/>
    <n v="38"/>
    <n v="1"/>
    <n v="145000"/>
    <n v="145000"/>
    <n v="36250"/>
    <m/>
  </r>
  <r>
    <n v="1096"/>
    <x v="95"/>
    <s v="Nigeria"/>
    <x v="3"/>
    <x v="23"/>
    <s v="Calabar"/>
    <x v="1"/>
    <x v="7"/>
    <x v="0"/>
    <n v="25"/>
    <n v="10"/>
    <n v="10000"/>
    <n v="100000"/>
    <n v="35000"/>
    <m/>
  </r>
  <r>
    <n v="1097"/>
    <x v="96"/>
    <s v="Nigeria"/>
    <x v="0"/>
    <x v="27"/>
    <s v="Damaturu"/>
    <x v="2"/>
    <x v="6"/>
    <x v="1"/>
    <n v="45"/>
    <n v="1"/>
    <n v="180000"/>
    <n v="180000"/>
    <n v="45000"/>
    <m/>
  </r>
  <r>
    <n v="1098"/>
    <x v="97"/>
    <s v="Nigeria"/>
    <x v="1"/>
    <x v="1"/>
    <s v="Lagos"/>
    <x v="0"/>
    <x v="5"/>
    <x v="0"/>
    <n v="34"/>
    <n v="1"/>
    <n v="82000"/>
    <n v="82000"/>
    <n v="20500"/>
    <m/>
  </r>
  <r>
    <n v="1099"/>
    <x v="98"/>
    <s v="Nigeria"/>
    <x v="2"/>
    <x v="2"/>
    <s v="Abeokuta"/>
    <x v="1"/>
    <x v="1"/>
    <x v="1"/>
    <n v="31"/>
    <n v="8"/>
    <n v="23000"/>
    <n v="184000"/>
    <n v="55200"/>
    <m/>
  </r>
  <r>
    <n v="1100"/>
    <x v="99"/>
    <s v="Nigeria"/>
    <x v="3"/>
    <x v="3"/>
    <s v="Enugu"/>
    <x v="2"/>
    <x v="9"/>
    <x v="0"/>
    <n v="42"/>
    <n v="1"/>
    <n v="145000"/>
    <n v="145000"/>
    <n v="3625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940E59D-DBD3-44BE-B59A-43C9BFB4D169}"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36" firstHeaderRow="1" firstDataRow="1" firstDataCol="1" rowPageCount="1" colPageCount="1"/>
  <pivotFields count="19">
    <pivotField showAll="0"/>
    <pivotField numFmtId="14"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axis="axisPage" showAll="0">
      <items count="5">
        <item x="3"/>
        <item x="0"/>
        <item x="1"/>
        <item x="2"/>
        <item t="default"/>
      </items>
    </pivotField>
    <pivotField axis="axisRow" showAll="0">
      <items count="34">
        <item x="15"/>
        <item x="30"/>
        <item x="17"/>
        <item x="7"/>
        <item x="16"/>
        <item x="21"/>
        <item x="24"/>
        <item x="23"/>
        <item x="9"/>
        <item x="19"/>
        <item x="13"/>
        <item x="18"/>
        <item x="3"/>
        <item x="26"/>
        <item x="11"/>
        <item x="28"/>
        <item x="4"/>
        <item x="0"/>
        <item x="8"/>
        <item x="29"/>
        <item x="22"/>
        <item x="1"/>
        <item x="32"/>
        <item x="2"/>
        <item x="14"/>
        <item x="10"/>
        <item x="6"/>
        <item x="25"/>
        <item x="5"/>
        <item x="12"/>
        <item x="31"/>
        <item x="27"/>
        <item x="20"/>
        <item t="default"/>
      </items>
    </pivotField>
    <pivotField showAll="0"/>
    <pivotField showAll="0"/>
    <pivotField showAll="0"/>
    <pivotField showAll="0"/>
    <pivotField showAll="0"/>
    <pivotField showAll="0"/>
    <pivotField showAll="0"/>
    <pivotField dataField="1" showAll="0"/>
    <pivotField showAll="0"/>
    <pivotField showAll="0"/>
    <pivotField showAll="0">
      <items count="15">
        <item x="0"/>
        <item x="1"/>
        <item x="2"/>
        <item x="3"/>
        <item x="4"/>
        <item x="5"/>
        <item x="6"/>
        <item x="7"/>
        <item x="8"/>
        <item x="9"/>
        <item x="10"/>
        <item x="11"/>
        <item x="12"/>
        <item x="13"/>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4"/>
  </rowFields>
  <rowItems count="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rowItems>
  <colItems count="1">
    <i/>
  </colItems>
  <pageFields count="1">
    <pageField fld="3" hier="-1"/>
  </pageFields>
  <dataFields count="1">
    <dataField name="Sum of TotalSales"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F905E96-0B62-4E47-B871-B3EE22BBB8C5}"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7">
  <location ref="A3:B13" firstHeaderRow="1" firstDataRow="1" firstDataCol="1" rowPageCount="1" colPageCount="1"/>
  <pivotFields count="19">
    <pivotField showAll="0"/>
    <pivotField numFmtId="14"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axis="axisPage" multipleItemSelectionAllowed="1" showAll="0">
      <items count="5">
        <item x="3"/>
        <item x="0"/>
        <item x="1"/>
        <item x="2"/>
        <item t="default"/>
      </items>
    </pivotField>
    <pivotField showAll="0"/>
    <pivotField showAll="0"/>
    <pivotField showAll="0">
      <items count="4">
        <item x="0"/>
        <item x="1"/>
        <item x="2"/>
        <item t="default"/>
      </items>
    </pivotField>
    <pivotField showAll="0"/>
    <pivotField showAll="0"/>
    <pivotField showAll="0"/>
    <pivotField showAll="0"/>
    <pivotField showAll="0"/>
    <pivotField dataField="1" showAll="0"/>
    <pivotField showAll="0"/>
    <pivotField showAll="0"/>
    <pivotField axis="axisRow" showAll="0">
      <items count="15">
        <item x="0"/>
        <item x="1"/>
        <item x="2"/>
        <item x="3"/>
        <item x="4"/>
        <item x="5"/>
        <item x="6"/>
        <item x="7"/>
        <item x="8"/>
        <item x="9"/>
        <item x="10"/>
        <item x="11"/>
        <item x="12"/>
        <item x="13"/>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15"/>
  </rowFields>
  <rowItems count="10">
    <i>
      <x v="1"/>
    </i>
    <i>
      <x v="2"/>
    </i>
    <i>
      <x v="3"/>
    </i>
    <i>
      <x v="4"/>
    </i>
    <i>
      <x v="5"/>
    </i>
    <i>
      <x v="6"/>
    </i>
    <i>
      <x v="7"/>
    </i>
    <i>
      <x v="8"/>
    </i>
    <i>
      <x v="9"/>
    </i>
    <i>
      <x v="10"/>
    </i>
  </rowItems>
  <colItems count="1">
    <i/>
  </colItems>
  <pageFields count="1">
    <pageField fld="3" hier="-1"/>
  </pageFields>
  <dataFields count="1">
    <dataField name="Sum of TotalSales" fld="12" baseField="0" baseItem="0" numFmtId="165"/>
  </dataFields>
  <formats count="1">
    <format dxfId="8">
      <pivotArea outline="0" collapsedLevelsAreSubtotals="1" fieldPosition="0"/>
    </format>
  </formats>
  <chartFormats count="4">
    <chartFormat chart="4"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6"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052425F-4AF2-4942-9860-6F9F7903DB9C}"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7">
  <location ref="A3:B5" firstHeaderRow="1" firstDataRow="1" firstDataCol="1"/>
  <pivotFields count="19">
    <pivotField showAll="0"/>
    <pivotField numFmtId="14"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items count="5">
        <item x="3"/>
        <item x="0"/>
        <item x="1"/>
        <item x="2"/>
        <item t="default"/>
      </items>
    </pivotField>
    <pivotField showAll="0"/>
    <pivotField showAll="0"/>
    <pivotField showAll="0"/>
    <pivotField showAll="0"/>
    <pivotField axis="axisRow" showAll="0">
      <items count="3">
        <item x="1"/>
        <item x="0"/>
        <item t="default"/>
      </items>
    </pivotField>
    <pivotField showAll="0"/>
    <pivotField showAll="0"/>
    <pivotField showAll="0"/>
    <pivotField dataField="1" showAll="0"/>
    <pivotField showAll="0"/>
    <pivotField showAll="0"/>
    <pivotField showAll="0" defaultSubtotal="0">
      <items count="14">
        <item x="0"/>
        <item x="1"/>
        <item x="2"/>
        <item x="3"/>
        <item x="4"/>
        <item x="5"/>
        <item x="6"/>
        <item x="7"/>
        <item x="8"/>
        <item x="9"/>
        <item x="10"/>
        <item x="11"/>
        <item x="12"/>
        <item x="13"/>
      </items>
    </pivotField>
    <pivotField dragToRow="0" dragToCol="0" dragToPage="0" showAll="0" defaultSubtotal="0"/>
    <pivotField dragToRow="0" dragToCol="0" dragToPage="0" showAll="0" defaultSubtotal="0"/>
    <pivotField dragToRow="0" dragToCol="0" dragToPage="0" showAll="0" defaultSubtotal="0"/>
  </pivotFields>
  <rowFields count="1">
    <field x="8"/>
  </rowFields>
  <rowItems count="2">
    <i>
      <x/>
    </i>
    <i>
      <x v="1"/>
    </i>
  </rowItems>
  <colItems count="1">
    <i/>
  </colItems>
  <dataFields count="1">
    <dataField name="Sum of TotalSales" fld="12" baseField="0" baseItem="0" numFmtId="165"/>
  </dataFields>
  <formats count="1">
    <format dxfId="7">
      <pivotArea outline="0" collapsedLevelsAreSubtotals="1" fieldPosition="0"/>
    </format>
  </formats>
  <chartFormats count="13">
    <chartFormat chart="5" format="3" series="1">
      <pivotArea type="data" outline="0" fieldPosition="0">
        <references count="1">
          <reference field="4294967294" count="1" selected="0">
            <x v="0"/>
          </reference>
        </references>
      </pivotArea>
    </chartFormat>
    <chartFormat chart="5" format="4">
      <pivotArea type="data" outline="0" fieldPosition="0">
        <references count="2">
          <reference field="4294967294" count="1" selected="0">
            <x v="0"/>
          </reference>
          <reference field="8" count="1" selected="0">
            <x v="0"/>
          </reference>
        </references>
      </pivotArea>
    </chartFormat>
    <chartFormat chart="5" format="5">
      <pivotArea type="data" outline="0" fieldPosition="0">
        <references count="2">
          <reference field="4294967294" count="1" selected="0">
            <x v="0"/>
          </reference>
          <reference field="8" count="1" selected="0">
            <x v="1"/>
          </reference>
        </references>
      </pivotArea>
    </chartFormat>
    <chartFormat chart="12" format="0" series="1">
      <pivotArea type="data" outline="0" fieldPosition="0">
        <references count="1">
          <reference field="4294967294" count="1" selected="0">
            <x v="0"/>
          </reference>
        </references>
      </pivotArea>
    </chartFormat>
    <chartFormat chart="12" format="1">
      <pivotArea type="data" outline="0" fieldPosition="0">
        <references count="2">
          <reference field="4294967294" count="1" selected="0">
            <x v="0"/>
          </reference>
          <reference field="8" count="1" selected="0">
            <x v="1"/>
          </reference>
        </references>
      </pivotArea>
    </chartFormat>
    <chartFormat chart="12" format="2">
      <pivotArea type="data" outline="0" fieldPosition="0">
        <references count="2">
          <reference field="4294967294" count="1" selected="0">
            <x v="0"/>
          </reference>
          <reference field="8" count="1" selected="0">
            <x v="0"/>
          </reference>
        </references>
      </pivotArea>
    </chartFormat>
    <chartFormat chart="17" format="3" series="1">
      <pivotArea type="data" outline="0" fieldPosition="0">
        <references count="1">
          <reference field="4294967294" count="1" selected="0">
            <x v="0"/>
          </reference>
        </references>
      </pivotArea>
    </chartFormat>
    <chartFormat chart="17" format="4">
      <pivotArea type="data" outline="0" fieldPosition="0">
        <references count="2">
          <reference field="4294967294" count="1" selected="0">
            <x v="0"/>
          </reference>
          <reference field="8" count="1" selected="0">
            <x v="0"/>
          </reference>
        </references>
      </pivotArea>
    </chartFormat>
    <chartFormat chart="17" format="5">
      <pivotArea type="data" outline="0" fieldPosition="0">
        <references count="2">
          <reference field="4294967294" count="1" selected="0">
            <x v="0"/>
          </reference>
          <reference field="8" count="1" selected="0">
            <x v="1"/>
          </reference>
        </references>
      </pivotArea>
    </chartFormat>
    <chartFormat chart="9" format="12" series="1">
      <pivotArea type="data" outline="0" fieldPosition="0">
        <references count="1">
          <reference field="4294967294" count="1" selected="0">
            <x v="0"/>
          </reference>
        </references>
      </pivotArea>
    </chartFormat>
    <chartFormat chart="24" format="24" series="1">
      <pivotArea type="data" outline="0" fieldPosition="0">
        <references count="1">
          <reference field="4294967294" count="1" selected="0">
            <x v="0"/>
          </reference>
        </references>
      </pivotArea>
    </chartFormat>
    <chartFormat chart="24" format="25">
      <pivotArea type="data" outline="0" fieldPosition="0">
        <references count="2">
          <reference field="4294967294" count="1" selected="0">
            <x v="0"/>
          </reference>
          <reference field="8" count="1" selected="0">
            <x v="0"/>
          </reference>
        </references>
      </pivotArea>
    </chartFormat>
    <chartFormat chart="24" format="26">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208833F-184F-4E3F-9CBC-ED41D62E7DC4}"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9">
  <location ref="A3:B6" firstHeaderRow="1" firstDataRow="1" firstDataCol="1" rowPageCount="1" colPageCount="1"/>
  <pivotFields count="19">
    <pivotField showAll="0"/>
    <pivotField numFmtId="14"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items count="5">
        <item x="3"/>
        <item x="0"/>
        <item x="1"/>
        <item x="2"/>
        <item t="default"/>
      </items>
    </pivotField>
    <pivotField showAll="0"/>
    <pivotField showAll="0"/>
    <pivotField axis="axisRow" showAll="0">
      <items count="4">
        <item x="0"/>
        <item x="1"/>
        <item x="2"/>
        <item t="default"/>
      </items>
    </pivotField>
    <pivotField axis="axisPage" showAll="0">
      <items count="11">
        <item x="8"/>
        <item x="9"/>
        <item x="7"/>
        <item x="2"/>
        <item x="6"/>
        <item x="3"/>
        <item x="1"/>
        <item x="0"/>
        <item x="5"/>
        <item x="4"/>
        <item t="default"/>
      </items>
    </pivotField>
    <pivotField showAll="0"/>
    <pivotField showAll="0"/>
    <pivotField showAll="0"/>
    <pivotField showAll="0"/>
    <pivotField dataField="1" showAll="0"/>
    <pivotField showAll="0"/>
    <pivotField showAll="0"/>
    <pivotField showAll="0" defaultSubtotal="0">
      <items count="14">
        <item x="0"/>
        <item x="1"/>
        <item x="2"/>
        <item x="3"/>
        <item x="4"/>
        <item x="5"/>
        <item x="6"/>
        <item x="7"/>
        <item x="8"/>
        <item x="9"/>
        <item x="10"/>
        <item x="11"/>
        <item x="12"/>
        <item x="13"/>
      </items>
    </pivotField>
    <pivotField dragToRow="0" dragToCol="0" dragToPage="0" showAll="0" defaultSubtotal="0"/>
    <pivotField dragToRow="0" dragToCol="0" dragToPage="0" showAll="0" defaultSubtotal="0"/>
    <pivotField dragToRow="0" dragToCol="0" dragToPage="0" showAll="0" defaultSubtotal="0"/>
  </pivotFields>
  <rowFields count="1">
    <field x="6"/>
  </rowFields>
  <rowItems count="3">
    <i>
      <x/>
    </i>
    <i>
      <x v="1"/>
    </i>
    <i>
      <x v="2"/>
    </i>
  </rowItems>
  <colItems count="1">
    <i/>
  </colItems>
  <pageFields count="1">
    <pageField fld="7" hier="-1"/>
  </pageFields>
  <dataFields count="1">
    <dataField name="Sum of TotalSales" fld="12" baseField="0" baseItem="0"/>
  </dataFields>
  <chartFormats count="4">
    <chartFormat chart="0"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F00EFA4-2556-4C9E-A655-99714B1808FD}"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4" firstHeaderRow="0" firstDataRow="1" firstDataCol="0" rowPageCount="1" colPageCount="1"/>
  <pivotFields count="19">
    <pivotField showAll="0"/>
    <pivotField numFmtId="14"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axis="axisPage" multipleItemSelectionAllowed="1" showAll="0">
      <items count="5">
        <item x="3"/>
        <item x="0"/>
        <item x="1"/>
        <item x="2"/>
        <item t="default"/>
      </items>
    </pivotField>
    <pivotField showAll="0"/>
    <pivotField showAll="0"/>
    <pivotField showAll="0">
      <items count="4">
        <item x="0"/>
        <item x="1"/>
        <item x="2"/>
        <item t="default"/>
      </items>
    </pivotField>
    <pivotField showAll="0"/>
    <pivotField showAll="0"/>
    <pivotField showAll="0"/>
    <pivotField showAll="0"/>
    <pivotField showAll="0"/>
    <pivotField dataField="1" showAll="0"/>
    <pivotField dataField="1" showAll="0"/>
    <pivotField showAll="0"/>
    <pivotField showAll="0" defaultSubtotal="0">
      <items count="14">
        <item x="0"/>
        <item x="1"/>
        <item x="2"/>
        <item x="3"/>
        <item x="4"/>
        <item x="5"/>
        <item x="6"/>
        <item x="7"/>
        <item x="8"/>
        <item x="9"/>
        <item x="10"/>
        <item x="11"/>
        <item x="12"/>
        <item x="13"/>
      </items>
    </pivotField>
    <pivotField dragToRow="0" dragToCol="0" dragToPage="0" showAll="0" defaultSubtotal="0"/>
    <pivotField dragToRow="0" dragToCol="0" dragToPage="0" showAll="0" defaultSubtotal="0"/>
    <pivotField dataField="1" dragToRow="0" dragToCol="0" dragToPage="0" showAll="0" defaultSubtotal="0"/>
  </pivotFields>
  <rowItems count="1">
    <i/>
  </rowItems>
  <colFields count="1">
    <field x="-2"/>
  </colFields>
  <colItems count="3">
    <i>
      <x/>
    </i>
    <i i="1">
      <x v="1"/>
    </i>
    <i i="2">
      <x v="2"/>
    </i>
  </colItems>
  <pageFields count="1">
    <pageField fld="3" hier="-1"/>
  </pageFields>
  <dataFields count="3">
    <dataField name="Sum of TotalSales" fld="12" baseField="0" baseItem="0"/>
    <dataField name="Sum of Profit" fld="13" baseField="0" baseItem="0"/>
    <dataField name="Sum of Profit  Margin" fld="18" baseField="0" baseItem="0" numFmtId="164"/>
  </dataFields>
  <formats count="1">
    <format dxfId="6">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3E65F6-A724-497E-ADE4-E33D2D282F22}" autoFormatId="16" applyNumberFormats="0" applyBorderFormats="0" applyFontFormats="0" applyPatternFormats="0" applyAlignmentFormats="0" applyWidthHeightFormats="0">
  <queryTableRefresh nextId="16" unboundColumnsRight="1">
    <queryTableFields count="15">
      <queryTableField id="1" name="OrderID" tableColumnId="1"/>
      <queryTableField id="2" name="Date" tableColumnId="2"/>
      <queryTableField id="3" name="Country" tableColumnId="3"/>
      <queryTableField id="4" name="Region" tableColumnId="4"/>
      <queryTableField id="5" name="State" tableColumnId="5"/>
      <queryTableField id="6" name="City" tableColumnId="6"/>
      <queryTableField id="7" name="ProductCategory" tableColumnId="7"/>
      <queryTableField id="8" name="ProductType" tableColumnId="8"/>
      <queryTableField id="9" name="Gender" tableColumnId="9"/>
      <queryTableField id="10" name="Age" tableColumnId="10"/>
      <queryTableField id="11" name="Quantity" tableColumnId="11"/>
      <queryTableField id="12" name="UnitPrice" tableColumnId="12"/>
      <queryTableField id="13" name="TotalSales" tableColumnId="13"/>
      <queryTableField id="14" name="Profit" tableColumnId="14"/>
      <queryTableField id="15" dataBound="0"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49C3FE0-367A-49F7-947B-2AA2691416CF}" sourceName="Region">
  <pivotTables>
    <pivotTable tabId="23" name="PivotTable8"/>
    <pivotTable tabId="17" name="PivotTable3"/>
    <pivotTable tabId="15" name="PivotTable1"/>
    <pivotTable tabId="18" name="PivotTable4"/>
    <pivotTable tabId="16" name="PivotTable2"/>
  </pivotTables>
  <data>
    <tabular pivotCacheId="1054377972">
      <items count="4">
        <i x="3" s="1"/>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Category" xr10:uid="{F92CE356-BF1C-4F9F-B616-9E60B53DE044}" sourceName="ProductCategory">
  <pivotTables>
    <pivotTable tabId="23" name="PivotTable8"/>
    <pivotTable tabId="18" name="PivotTable4"/>
    <pivotTable tabId="16" name="PivotTable2"/>
  </pivotTables>
  <data>
    <tabular pivotCacheId="1054377972">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FE50F649-7E78-4206-B993-86A378DA84C0}" cache="Slicer_Region" caption="Region" columnCount="2" showCaption="0" rowHeight="2194560"/>
  <slicer name="ProductCategory" xr10:uid="{210CB059-828F-4464-839B-8DDDB1AF2C95}" cache="Slicer_ProductCategory" caption="ProductCategory" columnCount="3" showCaption="0" rowHeight="13716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76F5EC7-338B-4652-AE0D-2CB0F7335C19}" name="SalesData" displayName="SalesData" ref="A1:O101" tableType="queryTable" totalsRowShown="0">
  <autoFilter ref="A1:O101" xr:uid="{476F5EC7-338B-4652-AE0D-2CB0F7335C19}"/>
  <tableColumns count="15">
    <tableColumn id="1" xr3:uid="{E972A234-AAD0-4375-ABB7-84DD71B1FF1E}" uniqueName="1" name="OrderID" queryTableFieldId="1"/>
    <tableColumn id="2" xr3:uid="{F00519CD-F63A-4FBF-916E-8DC64B157C84}" uniqueName="2" name="Date" queryTableFieldId="2" dataDxfId="16"/>
    <tableColumn id="3" xr3:uid="{6B1E8C7C-6D7E-4963-95C8-EDA3DCE5E5BC}" uniqueName="3" name="Country" queryTableFieldId="3" dataDxfId="15"/>
    <tableColumn id="4" xr3:uid="{94376E6C-19C7-4750-80FE-9FD8BABA4FBC}" uniqueName="4" name="Region" queryTableFieldId="4" dataDxfId="14"/>
    <tableColumn id="5" xr3:uid="{49384C6B-C548-4A6F-A853-A33850A4A155}" uniqueName="5" name="State" queryTableFieldId="5" dataDxfId="13"/>
    <tableColumn id="6" xr3:uid="{4CD333E4-E790-4827-AFC1-C3C9F9201436}" uniqueName="6" name="City" queryTableFieldId="6" dataDxfId="12"/>
    <tableColumn id="7" xr3:uid="{C1FC713C-49C9-43E3-8B7D-9E97D91FCF1C}" uniqueName="7" name="ProductCategory" queryTableFieldId="7" dataDxfId="11"/>
    <tableColumn id="8" xr3:uid="{5A9153A5-C689-4BBD-9645-06E81E1F6C2F}" uniqueName="8" name="ProductType" queryTableFieldId="8" dataDxfId="10"/>
    <tableColumn id="9" xr3:uid="{D06400DB-454F-4080-9EA0-EB9172061039}" uniqueName="9" name="Gender" queryTableFieldId="9" dataDxfId="9"/>
    <tableColumn id="10" xr3:uid="{33B58087-B01C-4921-96B4-A5A632FD0F9A}" uniqueName="10" name="Age" queryTableFieldId="10"/>
    <tableColumn id="11" xr3:uid="{93406C98-FDC4-42EB-B24C-4448C27990EF}" uniqueName="11" name="Quantity" queryTableFieldId="11"/>
    <tableColumn id="12" xr3:uid="{44528A76-19EB-4B68-BB96-00A77611CC24}" uniqueName="12" name="UnitPrice" queryTableFieldId="12"/>
    <tableColumn id="13" xr3:uid="{4845249A-9539-440F-BA4D-AC510CFA957E}" uniqueName="13" name="TotalSales" queryTableFieldId="13"/>
    <tableColumn id="14" xr3:uid="{13388DA3-57C9-4344-B81A-053D7EA5CB3A}" uniqueName="14" name="Profit" queryTableFieldId="14"/>
    <tableColumn id="15" xr3:uid="{93DDCD18-AEBC-485F-AE9F-076DC80561F1}" uniqueName="15" name="Count" queryTableFieldId="15"/>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B172DDE-2E06-4F56-905C-0F4A5389170C}">
  <we:reference id="wa104380862" version="3.0.0.0" store="en-US" storeType="OMEX"/>
  <we:alternateReferences>
    <we:reference id="WA104380862" version="3.0.0.0" store="WA104380862"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05484-A417-4330-AC99-5D322320EA6E}">
  <sheetPr codeName="Sheet1"/>
  <dimension ref="A1:O101"/>
  <sheetViews>
    <sheetView topLeftCell="B1" workbookViewId="0">
      <selection activeCell="B15" sqref="B15"/>
    </sheetView>
  </sheetViews>
  <sheetFormatPr defaultRowHeight="14.5" x14ac:dyDescent="0.35"/>
  <cols>
    <col min="1" max="1" width="9.81640625" bestFit="1" customWidth="1"/>
    <col min="2" max="2" width="10.453125" bestFit="1" customWidth="1"/>
    <col min="3" max="3" width="9.81640625" bestFit="1" customWidth="1"/>
    <col min="5" max="5" width="10.1796875" bestFit="1" customWidth="1"/>
    <col min="6" max="6" width="12.1796875" bestFit="1" customWidth="1"/>
    <col min="7" max="7" width="17.26953125" bestFit="1" customWidth="1"/>
    <col min="8" max="8" width="16.453125" bestFit="1" customWidth="1"/>
    <col min="9" max="9" width="9.26953125" bestFit="1" customWidth="1"/>
    <col min="10" max="10" width="6.1796875" bestFit="1" customWidth="1"/>
    <col min="11" max="11" width="10.453125" bestFit="1" customWidth="1"/>
    <col min="12" max="12" width="10.7265625" bestFit="1" customWidth="1"/>
    <col min="13" max="13" width="11.54296875" bestFit="1" customWidth="1"/>
    <col min="14" max="14" width="7.81640625" bestFit="1" customWidth="1"/>
  </cols>
  <sheetData>
    <row r="1" spans="1:15" x14ac:dyDescent="0.35">
      <c r="A1" t="s">
        <v>0</v>
      </c>
      <c r="B1" t="s">
        <v>1</v>
      </c>
      <c r="C1" t="s">
        <v>2</v>
      </c>
      <c r="D1" t="s">
        <v>3</v>
      </c>
      <c r="E1" t="s">
        <v>4</v>
      </c>
      <c r="F1" t="s">
        <v>5</v>
      </c>
      <c r="G1" t="s">
        <v>6</v>
      </c>
      <c r="H1" t="s">
        <v>7</v>
      </c>
      <c r="I1" t="s">
        <v>8</v>
      </c>
      <c r="J1" t="s">
        <v>9</v>
      </c>
      <c r="K1" t="s">
        <v>10</v>
      </c>
      <c r="L1" t="s">
        <v>11</v>
      </c>
      <c r="M1" t="s">
        <v>12</v>
      </c>
      <c r="N1" t="s">
        <v>13</v>
      </c>
      <c r="O1" t="s">
        <v>14</v>
      </c>
    </row>
    <row r="2" spans="1:15" x14ac:dyDescent="0.35">
      <c r="A2">
        <v>1001</v>
      </c>
      <c r="B2" s="1">
        <v>44931</v>
      </c>
      <c r="C2" t="s">
        <v>15</v>
      </c>
      <c r="D2" t="s">
        <v>16</v>
      </c>
      <c r="E2" t="s">
        <v>17</v>
      </c>
      <c r="F2" t="s">
        <v>17</v>
      </c>
      <c r="G2" t="s">
        <v>18</v>
      </c>
      <c r="H2" t="s">
        <v>19</v>
      </c>
      <c r="I2" t="s">
        <v>20</v>
      </c>
      <c r="J2">
        <v>32</v>
      </c>
      <c r="K2">
        <v>2</v>
      </c>
      <c r="L2">
        <v>45000</v>
      </c>
      <c r="M2">
        <v>90000</v>
      </c>
      <c r="N2">
        <v>18000</v>
      </c>
      <c r="O2">
        <f>COUNTA(SalesData[OrderID])</f>
        <v>100</v>
      </c>
    </row>
    <row r="3" spans="1:15" x14ac:dyDescent="0.35">
      <c r="A3">
        <v>1002</v>
      </c>
      <c r="B3" s="1">
        <v>44933</v>
      </c>
      <c r="C3" t="s">
        <v>15</v>
      </c>
      <c r="D3" t="s">
        <v>21</v>
      </c>
      <c r="E3" t="s">
        <v>22</v>
      </c>
      <c r="F3" t="s">
        <v>22</v>
      </c>
      <c r="G3" t="s">
        <v>23</v>
      </c>
      <c r="H3" t="s">
        <v>24</v>
      </c>
      <c r="I3" t="s">
        <v>20</v>
      </c>
      <c r="J3">
        <v>28</v>
      </c>
      <c r="K3">
        <v>1</v>
      </c>
      <c r="L3">
        <v>15000</v>
      </c>
      <c r="M3">
        <v>15000</v>
      </c>
      <c r="N3">
        <v>4500</v>
      </c>
    </row>
    <row r="4" spans="1:15" x14ac:dyDescent="0.35">
      <c r="A4">
        <v>1003</v>
      </c>
      <c r="B4" s="1">
        <v>44934</v>
      </c>
      <c r="C4" t="s">
        <v>15</v>
      </c>
      <c r="D4" t="s">
        <v>25</v>
      </c>
      <c r="E4" t="s">
        <v>26</v>
      </c>
      <c r="F4" t="s">
        <v>27</v>
      </c>
      <c r="G4" t="s">
        <v>28</v>
      </c>
      <c r="H4" t="s">
        <v>29</v>
      </c>
      <c r="I4" t="s">
        <v>30</v>
      </c>
      <c r="J4">
        <v>41</v>
      </c>
      <c r="K4">
        <v>3</v>
      </c>
      <c r="L4">
        <v>8000</v>
      </c>
      <c r="M4">
        <v>24000</v>
      </c>
      <c r="N4">
        <v>7200</v>
      </c>
    </row>
    <row r="5" spans="1:15" x14ac:dyDescent="0.35">
      <c r="A5">
        <v>1004</v>
      </c>
      <c r="B5" s="1">
        <v>44936</v>
      </c>
      <c r="C5" t="s">
        <v>15</v>
      </c>
      <c r="D5" t="s">
        <v>31</v>
      </c>
      <c r="E5" t="s">
        <v>32</v>
      </c>
      <c r="F5" t="s">
        <v>32</v>
      </c>
      <c r="G5" t="s">
        <v>18</v>
      </c>
      <c r="H5" t="s">
        <v>33</v>
      </c>
      <c r="I5" t="s">
        <v>30</v>
      </c>
      <c r="J5">
        <v>35</v>
      </c>
      <c r="K5">
        <v>1</v>
      </c>
      <c r="L5">
        <v>120000</v>
      </c>
      <c r="M5">
        <v>120000</v>
      </c>
      <c r="N5">
        <v>30000</v>
      </c>
    </row>
    <row r="6" spans="1:15" x14ac:dyDescent="0.35">
      <c r="A6">
        <v>1005</v>
      </c>
      <c r="B6" s="1">
        <v>44938</v>
      </c>
      <c r="C6" t="s">
        <v>15</v>
      </c>
      <c r="D6" t="s">
        <v>16</v>
      </c>
      <c r="E6" t="s">
        <v>34</v>
      </c>
      <c r="F6" t="s">
        <v>34</v>
      </c>
      <c r="G6" t="s">
        <v>23</v>
      </c>
      <c r="H6" t="s">
        <v>35</v>
      </c>
      <c r="I6" t="s">
        <v>30</v>
      </c>
      <c r="J6">
        <v>26</v>
      </c>
      <c r="K6">
        <v>2</v>
      </c>
      <c r="L6">
        <v>12000</v>
      </c>
      <c r="M6">
        <v>24000</v>
      </c>
      <c r="N6">
        <v>8400</v>
      </c>
    </row>
    <row r="7" spans="1:15" x14ac:dyDescent="0.35">
      <c r="A7">
        <v>1006</v>
      </c>
      <c r="B7" s="1">
        <v>44941</v>
      </c>
      <c r="C7" t="s">
        <v>15</v>
      </c>
      <c r="D7" t="s">
        <v>21</v>
      </c>
      <c r="E7" t="s">
        <v>36</v>
      </c>
      <c r="F7" t="s">
        <v>37</v>
      </c>
      <c r="G7" t="s">
        <v>18</v>
      </c>
      <c r="H7" t="s">
        <v>38</v>
      </c>
      <c r="I7" t="s">
        <v>20</v>
      </c>
      <c r="J7">
        <v>45</v>
      </c>
      <c r="K7">
        <v>1</v>
      </c>
      <c r="L7">
        <v>65000</v>
      </c>
      <c r="M7">
        <v>65000</v>
      </c>
      <c r="N7">
        <v>16250</v>
      </c>
    </row>
    <row r="8" spans="1:15" x14ac:dyDescent="0.35">
      <c r="A8">
        <v>1007</v>
      </c>
      <c r="B8" s="1">
        <v>44944</v>
      </c>
      <c r="C8" t="s">
        <v>15</v>
      </c>
      <c r="D8" t="s">
        <v>25</v>
      </c>
      <c r="E8" t="s">
        <v>39</v>
      </c>
      <c r="F8" t="s">
        <v>40</v>
      </c>
      <c r="G8" t="s">
        <v>28</v>
      </c>
      <c r="H8" t="s">
        <v>41</v>
      </c>
      <c r="I8" t="s">
        <v>30</v>
      </c>
      <c r="J8">
        <v>38</v>
      </c>
      <c r="K8">
        <v>1</v>
      </c>
      <c r="L8">
        <v>95000</v>
      </c>
      <c r="M8">
        <v>95000</v>
      </c>
      <c r="N8">
        <v>23750</v>
      </c>
    </row>
    <row r="9" spans="1:15" x14ac:dyDescent="0.35">
      <c r="A9">
        <v>1008</v>
      </c>
      <c r="B9" s="1">
        <v>44946</v>
      </c>
      <c r="C9" t="s">
        <v>15</v>
      </c>
      <c r="D9" t="s">
        <v>31</v>
      </c>
      <c r="E9" t="s">
        <v>42</v>
      </c>
      <c r="F9" t="s">
        <v>43</v>
      </c>
      <c r="G9" t="s">
        <v>23</v>
      </c>
      <c r="H9" t="s">
        <v>44</v>
      </c>
      <c r="I9" t="s">
        <v>30</v>
      </c>
      <c r="J9">
        <v>29</v>
      </c>
      <c r="K9">
        <v>4</v>
      </c>
      <c r="L9">
        <v>5000</v>
      </c>
      <c r="M9">
        <v>20000</v>
      </c>
      <c r="N9">
        <v>7000</v>
      </c>
    </row>
    <row r="10" spans="1:15" x14ac:dyDescent="0.35">
      <c r="A10">
        <v>1009</v>
      </c>
      <c r="B10" s="1">
        <v>44948</v>
      </c>
      <c r="C10" t="s">
        <v>15</v>
      </c>
      <c r="D10" t="s">
        <v>16</v>
      </c>
      <c r="E10" t="s">
        <v>45</v>
      </c>
      <c r="F10" t="s">
        <v>45</v>
      </c>
      <c r="G10" t="s">
        <v>18</v>
      </c>
      <c r="H10" t="s">
        <v>46</v>
      </c>
      <c r="I10" t="s">
        <v>20</v>
      </c>
      <c r="J10">
        <v>31</v>
      </c>
      <c r="K10">
        <v>5</v>
      </c>
      <c r="L10">
        <v>3000</v>
      </c>
      <c r="M10">
        <v>15000</v>
      </c>
      <c r="N10">
        <v>3750</v>
      </c>
    </row>
    <row r="11" spans="1:15" x14ac:dyDescent="0.35">
      <c r="A11">
        <v>1010</v>
      </c>
      <c r="B11" s="1">
        <v>44951</v>
      </c>
      <c r="C11" t="s">
        <v>15</v>
      </c>
      <c r="D11" t="s">
        <v>21</v>
      </c>
      <c r="E11" t="s">
        <v>47</v>
      </c>
      <c r="F11" t="s">
        <v>48</v>
      </c>
      <c r="G11" t="s">
        <v>23</v>
      </c>
      <c r="H11" t="s">
        <v>35</v>
      </c>
      <c r="I11" t="s">
        <v>30</v>
      </c>
      <c r="J11">
        <v>33</v>
      </c>
      <c r="K11">
        <v>2</v>
      </c>
      <c r="L11">
        <v>18000</v>
      </c>
      <c r="M11">
        <v>36000</v>
      </c>
      <c r="N11">
        <v>12600</v>
      </c>
    </row>
    <row r="12" spans="1:15" x14ac:dyDescent="0.35">
      <c r="A12">
        <v>1011</v>
      </c>
      <c r="B12" s="1">
        <v>44954</v>
      </c>
      <c r="C12" t="s">
        <v>15</v>
      </c>
      <c r="D12" t="s">
        <v>25</v>
      </c>
      <c r="E12" t="s">
        <v>49</v>
      </c>
      <c r="F12" t="s">
        <v>50</v>
      </c>
      <c r="G12" t="s">
        <v>18</v>
      </c>
      <c r="H12" t="s">
        <v>19</v>
      </c>
      <c r="I12" t="s">
        <v>20</v>
      </c>
      <c r="J12">
        <v>27</v>
      </c>
      <c r="K12">
        <v>1</v>
      </c>
      <c r="L12">
        <v>48000</v>
      </c>
      <c r="M12">
        <v>48000</v>
      </c>
      <c r="N12">
        <v>12000</v>
      </c>
    </row>
    <row r="13" spans="1:15" x14ac:dyDescent="0.35">
      <c r="A13">
        <v>1012</v>
      </c>
      <c r="B13" s="1">
        <v>44956</v>
      </c>
      <c r="C13" t="s">
        <v>15</v>
      </c>
      <c r="D13" t="s">
        <v>31</v>
      </c>
      <c r="E13" t="s">
        <v>51</v>
      </c>
      <c r="F13" t="s">
        <v>52</v>
      </c>
      <c r="G13" t="s">
        <v>28</v>
      </c>
      <c r="H13" t="s">
        <v>53</v>
      </c>
      <c r="I13" t="s">
        <v>30</v>
      </c>
      <c r="J13">
        <v>44</v>
      </c>
      <c r="K13">
        <v>1</v>
      </c>
      <c r="L13">
        <v>75000</v>
      </c>
      <c r="M13">
        <v>75000</v>
      </c>
      <c r="N13">
        <v>18750</v>
      </c>
    </row>
    <row r="14" spans="1:15" x14ac:dyDescent="0.35">
      <c r="A14">
        <v>1013</v>
      </c>
      <c r="B14" s="1">
        <v>44959</v>
      </c>
      <c r="C14" t="s">
        <v>15</v>
      </c>
      <c r="D14" t="s">
        <v>16</v>
      </c>
      <c r="E14" t="s">
        <v>54</v>
      </c>
      <c r="F14" t="s">
        <v>54</v>
      </c>
      <c r="G14" t="s">
        <v>23</v>
      </c>
      <c r="H14" t="s">
        <v>24</v>
      </c>
      <c r="I14" t="s">
        <v>20</v>
      </c>
      <c r="J14">
        <v>36</v>
      </c>
      <c r="K14">
        <v>3</v>
      </c>
      <c r="L14">
        <v>12000</v>
      </c>
      <c r="M14">
        <v>36000</v>
      </c>
      <c r="N14">
        <v>10800</v>
      </c>
    </row>
    <row r="15" spans="1:15" x14ac:dyDescent="0.35">
      <c r="A15">
        <v>1014</v>
      </c>
      <c r="B15" s="1">
        <v>44962</v>
      </c>
      <c r="C15" t="s">
        <v>15</v>
      </c>
      <c r="D15" t="s">
        <v>21</v>
      </c>
      <c r="E15" t="s">
        <v>55</v>
      </c>
      <c r="F15" t="s">
        <v>56</v>
      </c>
      <c r="G15" t="s">
        <v>18</v>
      </c>
      <c r="H15" t="s">
        <v>33</v>
      </c>
      <c r="I15" t="s">
        <v>30</v>
      </c>
      <c r="J15">
        <v>39</v>
      </c>
      <c r="K15">
        <v>1</v>
      </c>
      <c r="L15">
        <v>115000</v>
      </c>
      <c r="M15">
        <v>115000</v>
      </c>
      <c r="N15">
        <v>28750</v>
      </c>
    </row>
    <row r="16" spans="1:15" x14ac:dyDescent="0.35">
      <c r="A16">
        <v>1015</v>
      </c>
      <c r="B16" s="1">
        <v>44965</v>
      </c>
      <c r="C16" t="s">
        <v>15</v>
      </c>
      <c r="D16" t="s">
        <v>25</v>
      </c>
      <c r="E16" t="s">
        <v>57</v>
      </c>
      <c r="F16" t="s">
        <v>58</v>
      </c>
      <c r="G16" t="s">
        <v>23</v>
      </c>
      <c r="H16" t="s">
        <v>35</v>
      </c>
      <c r="I16" t="s">
        <v>30</v>
      </c>
      <c r="J16">
        <v>30</v>
      </c>
      <c r="K16">
        <v>2</v>
      </c>
      <c r="L16">
        <v>20000</v>
      </c>
      <c r="M16">
        <v>40000</v>
      </c>
      <c r="N16">
        <v>14000</v>
      </c>
    </row>
    <row r="17" spans="1:14" x14ac:dyDescent="0.35">
      <c r="A17">
        <v>1016</v>
      </c>
      <c r="B17" s="1">
        <v>44967</v>
      </c>
      <c r="C17" t="s">
        <v>15</v>
      </c>
      <c r="D17" t="s">
        <v>31</v>
      </c>
      <c r="E17" t="s">
        <v>59</v>
      </c>
      <c r="F17" t="s">
        <v>60</v>
      </c>
      <c r="G17" t="s">
        <v>28</v>
      </c>
      <c r="H17" t="s">
        <v>29</v>
      </c>
      <c r="I17" t="s">
        <v>20</v>
      </c>
      <c r="J17">
        <v>42</v>
      </c>
      <c r="K17">
        <v>4</v>
      </c>
      <c r="L17">
        <v>8500</v>
      </c>
      <c r="M17">
        <v>34000</v>
      </c>
      <c r="N17">
        <v>10200</v>
      </c>
    </row>
    <row r="18" spans="1:14" x14ac:dyDescent="0.35">
      <c r="A18">
        <v>1017</v>
      </c>
      <c r="B18" s="1">
        <v>44969</v>
      </c>
      <c r="C18" t="s">
        <v>15</v>
      </c>
      <c r="D18" t="s">
        <v>16</v>
      </c>
      <c r="E18" t="s">
        <v>61</v>
      </c>
      <c r="F18" t="s">
        <v>61</v>
      </c>
      <c r="G18" t="s">
        <v>18</v>
      </c>
      <c r="H18" t="s">
        <v>38</v>
      </c>
      <c r="I18" t="s">
        <v>30</v>
      </c>
      <c r="J18">
        <v>37</v>
      </c>
      <c r="K18">
        <v>1</v>
      </c>
      <c r="L18">
        <v>62000</v>
      </c>
      <c r="M18">
        <v>62000</v>
      </c>
      <c r="N18">
        <v>15500</v>
      </c>
    </row>
    <row r="19" spans="1:14" x14ac:dyDescent="0.35">
      <c r="A19">
        <v>1018</v>
      </c>
      <c r="B19" s="1">
        <v>44972</v>
      </c>
      <c r="C19" t="s">
        <v>15</v>
      </c>
      <c r="D19" t="s">
        <v>21</v>
      </c>
      <c r="E19" t="s">
        <v>62</v>
      </c>
      <c r="F19" t="s">
        <v>63</v>
      </c>
      <c r="G19" t="s">
        <v>23</v>
      </c>
      <c r="H19" t="s">
        <v>44</v>
      </c>
      <c r="I19" t="s">
        <v>20</v>
      </c>
      <c r="J19">
        <v>25</v>
      </c>
      <c r="K19">
        <v>3</v>
      </c>
      <c r="L19">
        <v>6000</v>
      </c>
      <c r="M19">
        <v>18000</v>
      </c>
      <c r="N19">
        <v>6300</v>
      </c>
    </row>
    <row r="20" spans="1:14" x14ac:dyDescent="0.35">
      <c r="A20">
        <v>1019</v>
      </c>
      <c r="B20" s="1">
        <v>44975</v>
      </c>
      <c r="C20" t="s">
        <v>15</v>
      </c>
      <c r="D20" t="s">
        <v>25</v>
      </c>
      <c r="E20" t="s">
        <v>64</v>
      </c>
      <c r="F20" t="s">
        <v>65</v>
      </c>
      <c r="G20" t="s">
        <v>28</v>
      </c>
      <c r="H20" t="s">
        <v>41</v>
      </c>
      <c r="I20" t="s">
        <v>30</v>
      </c>
      <c r="J20">
        <v>43</v>
      </c>
      <c r="K20">
        <v>1</v>
      </c>
      <c r="L20">
        <v>110000</v>
      </c>
      <c r="M20">
        <v>110000</v>
      </c>
      <c r="N20">
        <v>27500</v>
      </c>
    </row>
    <row r="21" spans="1:14" x14ac:dyDescent="0.35">
      <c r="A21">
        <v>1020</v>
      </c>
      <c r="B21" s="1">
        <v>44977</v>
      </c>
      <c r="C21" t="s">
        <v>15</v>
      </c>
      <c r="D21" t="s">
        <v>31</v>
      </c>
      <c r="E21" t="s">
        <v>66</v>
      </c>
      <c r="F21" t="s">
        <v>67</v>
      </c>
      <c r="G21" t="s">
        <v>18</v>
      </c>
      <c r="H21" t="s">
        <v>46</v>
      </c>
      <c r="I21" t="s">
        <v>20</v>
      </c>
      <c r="J21">
        <v>34</v>
      </c>
      <c r="K21">
        <v>6</v>
      </c>
      <c r="L21">
        <v>3500</v>
      </c>
      <c r="M21">
        <v>21000</v>
      </c>
      <c r="N21">
        <v>5250</v>
      </c>
    </row>
    <row r="22" spans="1:14" x14ac:dyDescent="0.35">
      <c r="A22">
        <v>1021</v>
      </c>
      <c r="B22" s="1">
        <v>44979</v>
      </c>
      <c r="C22" t="s">
        <v>15</v>
      </c>
      <c r="D22" t="s">
        <v>16</v>
      </c>
      <c r="E22" t="s">
        <v>68</v>
      </c>
      <c r="F22" t="s">
        <v>69</v>
      </c>
      <c r="G22" t="s">
        <v>23</v>
      </c>
      <c r="H22" t="s">
        <v>24</v>
      </c>
      <c r="I22" t="s">
        <v>20</v>
      </c>
      <c r="J22">
        <v>40</v>
      </c>
      <c r="K22">
        <v>2</v>
      </c>
      <c r="L22">
        <v>14000</v>
      </c>
      <c r="M22">
        <v>28000</v>
      </c>
      <c r="N22">
        <v>8400</v>
      </c>
    </row>
    <row r="23" spans="1:14" x14ac:dyDescent="0.35">
      <c r="A23">
        <v>1022</v>
      </c>
      <c r="B23" s="1">
        <v>44982</v>
      </c>
      <c r="C23" t="s">
        <v>15</v>
      </c>
      <c r="D23" t="s">
        <v>21</v>
      </c>
      <c r="E23" t="s">
        <v>70</v>
      </c>
      <c r="F23" t="s">
        <v>71</v>
      </c>
      <c r="G23" t="s">
        <v>18</v>
      </c>
      <c r="H23" t="s">
        <v>19</v>
      </c>
      <c r="I23" t="s">
        <v>30</v>
      </c>
      <c r="J23">
        <v>31</v>
      </c>
      <c r="K23">
        <v>1</v>
      </c>
      <c r="L23">
        <v>46000</v>
      </c>
      <c r="M23">
        <v>46000</v>
      </c>
      <c r="N23">
        <v>11500</v>
      </c>
    </row>
    <row r="24" spans="1:14" x14ac:dyDescent="0.35">
      <c r="A24">
        <v>1023</v>
      </c>
      <c r="B24" s="1">
        <v>44985</v>
      </c>
      <c r="C24" t="s">
        <v>15</v>
      </c>
      <c r="D24" t="s">
        <v>25</v>
      </c>
      <c r="E24" t="s">
        <v>72</v>
      </c>
      <c r="F24" t="s">
        <v>73</v>
      </c>
      <c r="G24" t="s">
        <v>28</v>
      </c>
      <c r="H24" t="s">
        <v>53</v>
      </c>
      <c r="I24" t="s">
        <v>20</v>
      </c>
      <c r="J24">
        <v>46</v>
      </c>
      <c r="K24">
        <v>1</v>
      </c>
      <c r="L24">
        <v>80000</v>
      </c>
      <c r="M24">
        <v>80000</v>
      </c>
      <c r="N24">
        <v>20000</v>
      </c>
    </row>
    <row r="25" spans="1:14" x14ac:dyDescent="0.35">
      <c r="A25">
        <v>1024</v>
      </c>
      <c r="B25" s="1">
        <v>44988</v>
      </c>
      <c r="C25" t="s">
        <v>15</v>
      </c>
      <c r="D25" t="s">
        <v>31</v>
      </c>
      <c r="E25" t="s">
        <v>74</v>
      </c>
      <c r="F25" t="s">
        <v>75</v>
      </c>
      <c r="G25" t="s">
        <v>23</v>
      </c>
      <c r="H25" t="s">
        <v>35</v>
      </c>
      <c r="I25" t="s">
        <v>30</v>
      </c>
      <c r="J25">
        <v>28</v>
      </c>
      <c r="K25">
        <v>3</v>
      </c>
      <c r="L25">
        <v>17000</v>
      </c>
      <c r="M25">
        <v>51000</v>
      </c>
      <c r="N25">
        <v>17850</v>
      </c>
    </row>
    <row r="26" spans="1:14" x14ac:dyDescent="0.35">
      <c r="A26">
        <v>1025</v>
      </c>
      <c r="B26" s="1">
        <v>44991</v>
      </c>
      <c r="C26" t="s">
        <v>15</v>
      </c>
      <c r="D26" t="s">
        <v>16</v>
      </c>
      <c r="E26" t="s">
        <v>76</v>
      </c>
      <c r="F26" t="s">
        <v>77</v>
      </c>
      <c r="G26" t="s">
        <v>18</v>
      </c>
      <c r="H26" t="s">
        <v>33</v>
      </c>
      <c r="I26" t="s">
        <v>20</v>
      </c>
      <c r="J26">
        <v>33</v>
      </c>
      <c r="K26">
        <v>1</v>
      </c>
      <c r="L26">
        <v>125000</v>
      </c>
      <c r="M26">
        <v>125000</v>
      </c>
      <c r="N26">
        <v>31250</v>
      </c>
    </row>
    <row r="27" spans="1:14" x14ac:dyDescent="0.35">
      <c r="A27">
        <v>1026</v>
      </c>
      <c r="B27" s="1">
        <v>44994</v>
      </c>
      <c r="C27" t="s">
        <v>15</v>
      </c>
      <c r="D27" t="s">
        <v>21</v>
      </c>
      <c r="E27" t="s">
        <v>22</v>
      </c>
      <c r="F27" t="s">
        <v>22</v>
      </c>
      <c r="G27" t="s">
        <v>23</v>
      </c>
      <c r="H27" t="s">
        <v>44</v>
      </c>
      <c r="I27" t="s">
        <v>30</v>
      </c>
      <c r="J27">
        <v>24</v>
      </c>
      <c r="K27">
        <v>5</v>
      </c>
      <c r="L27">
        <v>5500</v>
      </c>
      <c r="M27">
        <v>27500</v>
      </c>
      <c r="N27">
        <v>9625</v>
      </c>
    </row>
    <row r="28" spans="1:14" x14ac:dyDescent="0.35">
      <c r="A28">
        <v>1027</v>
      </c>
      <c r="B28" s="1">
        <v>44997</v>
      </c>
      <c r="C28" t="s">
        <v>15</v>
      </c>
      <c r="D28" t="s">
        <v>25</v>
      </c>
      <c r="E28" t="s">
        <v>26</v>
      </c>
      <c r="F28" t="s">
        <v>27</v>
      </c>
      <c r="G28" t="s">
        <v>28</v>
      </c>
      <c r="H28" t="s">
        <v>29</v>
      </c>
      <c r="I28" t="s">
        <v>20</v>
      </c>
      <c r="J28">
        <v>47</v>
      </c>
      <c r="K28">
        <v>2</v>
      </c>
      <c r="L28">
        <v>9000</v>
      </c>
      <c r="M28">
        <v>18000</v>
      </c>
      <c r="N28">
        <v>5400</v>
      </c>
    </row>
    <row r="29" spans="1:14" x14ac:dyDescent="0.35">
      <c r="A29">
        <v>1028</v>
      </c>
      <c r="B29" s="1">
        <v>45000</v>
      </c>
      <c r="C29" t="s">
        <v>15</v>
      </c>
      <c r="D29" t="s">
        <v>31</v>
      </c>
      <c r="E29" t="s">
        <v>32</v>
      </c>
      <c r="F29" t="s">
        <v>32</v>
      </c>
      <c r="G29" t="s">
        <v>18</v>
      </c>
      <c r="H29" t="s">
        <v>38</v>
      </c>
      <c r="I29" t="s">
        <v>30</v>
      </c>
      <c r="J29">
        <v>36</v>
      </c>
      <c r="K29">
        <v>1</v>
      </c>
      <c r="L29">
        <v>68000</v>
      </c>
      <c r="M29">
        <v>68000</v>
      </c>
      <c r="N29">
        <v>17000</v>
      </c>
    </row>
    <row r="30" spans="1:14" x14ac:dyDescent="0.35">
      <c r="A30">
        <v>1029</v>
      </c>
      <c r="B30" s="1">
        <v>45003</v>
      </c>
      <c r="C30" t="s">
        <v>15</v>
      </c>
      <c r="D30" t="s">
        <v>16</v>
      </c>
      <c r="E30" t="s">
        <v>78</v>
      </c>
      <c r="F30" t="s">
        <v>79</v>
      </c>
      <c r="G30" t="s">
        <v>23</v>
      </c>
      <c r="H30" t="s">
        <v>24</v>
      </c>
      <c r="I30" t="s">
        <v>20</v>
      </c>
      <c r="J30">
        <v>29</v>
      </c>
      <c r="K30">
        <v>4</v>
      </c>
      <c r="L30">
        <v>11000</v>
      </c>
      <c r="M30">
        <v>44000</v>
      </c>
      <c r="N30">
        <v>13200</v>
      </c>
    </row>
    <row r="31" spans="1:14" x14ac:dyDescent="0.35">
      <c r="A31">
        <v>1030</v>
      </c>
      <c r="B31" s="1">
        <v>45006</v>
      </c>
      <c r="C31" t="s">
        <v>15</v>
      </c>
      <c r="D31" t="s">
        <v>21</v>
      </c>
      <c r="E31" t="s">
        <v>36</v>
      </c>
      <c r="F31" t="s">
        <v>37</v>
      </c>
      <c r="G31" t="s">
        <v>28</v>
      </c>
      <c r="H31" t="s">
        <v>41</v>
      </c>
      <c r="I31" t="s">
        <v>30</v>
      </c>
      <c r="J31">
        <v>42</v>
      </c>
      <c r="K31">
        <v>1</v>
      </c>
      <c r="L31">
        <v>105000</v>
      </c>
      <c r="M31">
        <v>105000</v>
      </c>
      <c r="N31">
        <v>26250</v>
      </c>
    </row>
    <row r="32" spans="1:14" x14ac:dyDescent="0.35">
      <c r="A32">
        <v>1031</v>
      </c>
      <c r="B32" s="1">
        <v>45009</v>
      </c>
      <c r="C32" t="s">
        <v>15</v>
      </c>
      <c r="D32" t="s">
        <v>25</v>
      </c>
      <c r="E32" t="s">
        <v>39</v>
      </c>
      <c r="F32" t="s">
        <v>40</v>
      </c>
      <c r="G32" t="s">
        <v>18</v>
      </c>
      <c r="H32" t="s">
        <v>46</v>
      </c>
      <c r="I32" t="s">
        <v>20</v>
      </c>
      <c r="J32">
        <v>35</v>
      </c>
      <c r="K32">
        <v>7</v>
      </c>
      <c r="L32">
        <v>4000</v>
      </c>
      <c r="M32">
        <v>28000</v>
      </c>
      <c r="N32">
        <v>7000</v>
      </c>
    </row>
    <row r="33" spans="1:14" x14ac:dyDescent="0.35">
      <c r="A33">
        <v>1032</v>
      </c>
      <c r="B33" s="1">
        <v>45012</v>
      </c>
      <c r="C33" t="s">
        <v>15</v>
      </c>
      <c r="D33" t="s">
        <v>31</v>
      </c>
      <c r="E33" t="s">
        <v>42</v>
      </c>
      <c r="F33" t="s">
        <v>43</v>
      </c>
      <c r="G33" t="s">
        <v>23</v>
      </c>
      <c r="H33" t="s">
        <v>35</v>
      </c>
      <c r="I33" t="s">
        <v>30</v>
      </c>
      <c r="J33">
        <v>30</v>
      </c>
      <c r="K33">
        <v>2</v>
      </c>
      <c r="L33">
        <v>19000</v>
      </c>
      <c r="M33">
        <v>38000</v>
      </c>
      <c r="N33">
        <v>13300</v>
      </c>
    </row>
    <row r="34" spans="1:14" x14ac:dyDescent="0.35">
      <c r="A34">
        <v>1033</v>
      </c>
      <c r="B34" s="1">
        <v>45015</v>
      </c>
      <c r="C34" t="s">
        <v>15</v>
      </c>
      <c r="D34" t="s">
        <v>16</v>
      </c>
      <c r="E34" t="s">
        <v>80</v>
      </c>
      <c r="F34" t="s">
        <v>80</v>
      </c>
      <c r="G34" t="s">
        <v>18</v>
      </c>
      <c r="H34" t="s">
        <v>19</v>
      </c>
      <c r="I34" t="s">
        <v>20</v>
      </c>
      <c r="J34">
        <v>38</v>
      </c>
      <c r="K34">
        <v>1</v>
      </c>
      <c r="L34">
        <v>47000</v>
      </c>
      <c r="M34">
        <v>47000</v>
      </c>
      <c r="N34">
        <v>11750</v>
      </c>
    </row>
    <row r="35" spans="1:14" x14ac:dyDescent="0.35">
      <c r="A35">
        <v>1034</v>
      </c>
      <c r="B35" s="1">
        <v>45018</v>
      </c>
      <c r="C35" t="s">
        <v>15</v>
      </c>
      <c r="D35" t="s">
        <v>21</v>
      </c>
      <c r="E35" t="s">
        <v>47</v>
      </c>
      <c r="F35" t="s">
        <v>48</v>
      </c>
      <c r="G35" t="s">
        <v>28</v>
      </c>
      <c r="H35" t="s">
        <v>53</v>
      </c>
      <c r="I35" t="s">
        <v>30</v>
      </c>
      <c r="J35">
        <v>45</v>
      </c>
      <c r="K35">
        <v>1</v>
      </c>
      <c r="L35">
        <v>85000</v>
      </c>
      <c r="M35">
        <v>85000</v>
      </c>
      <c r="N35">
        <v>21250</v>
      </c>
    </row>
    <row r="36" spans="1:14" x14ac:dyDescent="0.35">
      <c r="A36">
        <v>1035</v>
      </c>
      <c r="B36" s="1">
        <v>45021</v>
      </c>
      <c r="C36" t="s">
        <v>15</v>
      </c>
      <c r="D36" t="s">
        <v>25</v>
      </c>
      <c r="E36" t="s">
        <v>49</v>
      </c>
      <c r="F36" t="s">
        <v>50</v>
      </c>
      <c r="G36" t="s">
        <v>23</v>
      </c>
      <c r="H36" t="s">
        <v>44</v>
      </c>
      <c r="I36" t="s">
        <v>20</v>
      </c>
      <c r="J36">
        <v>26</v>
      </c>
      <c r="K36">
        <v>4</v>
      </c>
      <c r="L36">
        <v>6500</v>
      </c>
      <c r="M36">
        <v>26000</v>
      </c>
      <c r="N36">
        <v>9100</v>
      </c>
    </row>
    <row r="37" spans="1:14" x14ac:dyDescent="0.35">
      <c r="A37">
        <v>1036</v>
      </c>
      <c r="B37" s="1">
        <v>45024</v>
      </c>
      <c r="C37" t="s">
        <v>15</v>
      </c>
      <c r="D37" t="s">
        <v>31</v>
      </c>
      <c r="E37" t="s">
        <v>51</v>
      </c>
      <c r="F37" t="s">
        <v>52</v>
      </c>
      <c r="G37" t="s">
        <v>18</v>
      </c>
      <c r="H37" t="s">
        <v>33</v>
      </c>
      <c r="I37" t="s">
        <v>30</v>
      </c>
      <c r="J37">
        <v>39</v>
      </c>
      <c r="K37">
        <v>1</v>
      </c>
      <c r="L37">
        <v>118000</v>
      </c>
      <c r="M37">
        <v>118000</v>
      </c>
      <c r="N37">
        <v>29500</v>
      </c>
    </row>
    <row r="38" spans="1:14" x14ac:dyDescent="0.35">
      <c r="A38">
        <v>1037</v>
      </c>
      <c r="B38" s="1">
        <v>45027</v>
      </c>
      <c r="C38" t="s">
        <v>15</v>
      </c>
      <c r="D38" t="s">
        <v>16</v>
      </c>
      <c r="E38" t="s">
        <v>81</v>
      </c>
      <c r="F38" t="s">
        <v>82</v>
      </c>
      <c r="G38" t="s">
        <v>23</v>
      </c>
      <c r="H38" t="s">
        <v>24</v>
      </c>
      <c r="I38" t="s">
        <v>20</v>
      </c>
      <c r="J38">
        <v>41</v>
      </c>
      <c r="K38">
        <v>3</v>
      </c>
      <c r="L38">
        <v>13000</v>
      </c>
      <c r="M38">
        <v>39000</v>
      </c>
      <c r="N38">
        <v>11700</v>
      </c>
    </row>
    <row r="39" spans="1:14" x14ac:dyDescent="0.35">
      <c r="A39">
        <v>1038</v>
      </c>
      <c r="B39" s="1">
        <v>45030</v>
      </c>
      <c r="C39" t="s">
        <v>15</v>
      </c>
      <c r="D39" t="s">
        <v>21</v>
      </c>
      <c r="E39" t="s">
        <v>55</v>
      </c>
      <c r="F39" t="s">
        <v>56</v>
      </c>
      <c r="G39" t="s">
        <v>28</v>
      </c>
      <c r="H39" t="s">
        <v>29</v>
      </c>
      <c r="I39" t="s">
        <v>30</v>
      </c>
      <c r="J39">
        <v>32</v>
      </c>
      <c r="K39">
        <v>5</v>
      </c>
      <c r="L39">
        <v>9500</v>
      </c>
      <c r="M39">
        <v>47500</v>
      </c>
      <c r="N39">
        <v>14250</v>
      </c>
    </row>
    <row r="40" spans="1:14" x14ac:dyDescent="0.35">
      <c r="A40">
        <v>1039</v>
      </c>
      <c r="B40" s="1">
        <v>45033</v>
      </c>
      <c r="C40" t="s">
        <v>15</v>
      </c>
      <c r="D40" t="s">
        <v>25</v>
      </c>
      <c r="E40" t="s">
        <v>57</v>
      </c>
      <c r="F40" t="s">
        <v>58</v>
      </c>
      <c r="G40" t="s">
        <v>18</v>
      </c>
      <c r="H40" t="s">
        <v>38</v>
      </c>
      <c r="I40" t="s">
        <v>20</v>
      </c>
      <c r="J40">
        <v>34</v>
      </c>
      <c r="K40">
        <v>1</v>
      </c>
      <c r="L40">
        <v>70000</v>
      </c>
      <c r="M40">
        <v>70000</v>
      </c>
      <c r="N40">
        <v>17500</v>
      </c>
    </row>
    <row r="41" spans="1:14" x14ac:dyDescent="0.35">
      <c r="A41">
        <v>1040</v>
      </c>
      <c r="B41" s="1">
        <v>45036</v>
      </c>
      <c r="C41" t="s">
        <v>15</v>
      </c>
      <c r="D41" t="s">
        <v>31</v>
      </c>
      <c r="E41" t="s">
        <v>59</v>
      </c>
      <c r="F41" t="s">
        <v>60</v>
      </c>
      <c r="G41" t="s">
        <v>23</v>
      </c>
      <c r="H41" t="s">
        <v>35</v>
      </c>
      <c r="I41" t="s">
        <v>30</v>
      </c>
      <c r="J41">
        <v>27</v>
      </c>
      <c r="K41">
        <v>2</v>
      </c>
      <c r="L41">
        <v>21000</v>
      </c>
      <c r="M41">
        <v>42000</v>
      </c>
      <c r="N41">
        <v>14700</v>
      </c>
    </row>
    <row r="42" spans="1:14" x14ac:dyDescent="0.35">
      <c r="A42">
        <v>1041</v>
      </c>
      <c r="B42" s="1">
        <v>45039</v>
      </c>
      <c r="C42" t="s">
        <v>15</v>
      </c>
      <c r="D42" t="s">
        <v>16</v>
      </c>
      <c r="E42" t="s">
        <v>83</v>
      </c>
      <c r="F42" t="s">
        <v>84</v>
      </c>
      <c r="G42" t="s">
        <v>28</v>
      </c>
      <c r="H42" t="s">
        <v>41</v>
      </c>
      <c r="I42" t="s">
        <v>20</v>
      </c>
      <c r="J42">
        <v>44</v>
      </c>
      <c r="K42">
        <v>1</v>
      </c>
      <c r="L42">
        <v>115000</v>
      </c>
      <c r="M42">
        <v>115000</v>
      </c>
      <c r="N42">
        <v>28750</v>
      </c>
    </row>
    <row r="43" spans="1:14" x14ac:dyDescent="0.35">
      <c r="A43">
        <v>1042</v>
      </c>
      <c r="B43" s="1">
        <v>45042</v>
      </c>
      <c r="C43" t="s">
        <v>15</v>
      </c>
      <c r="D43" t="s">
        <v>21</v>
      </c>
      <c r="E43" t="s">
        <v>62</v>
      </c>
      <c r="F43" t="s">
        <v>63</v>
      </c>
      <c r="G43" t="s">
        <v>18</v>
      </c>
      <c r="H43" t="s">
        <v>46</v>
      </c>
      <c r="I43" t="s">
        <v>30</v>
      </c>
      <c r="J43">
        <v>31</v>
      </c>
      <c r="K43">
        <v>8</v>
      </c>
      <c r="L43">
        <v>4500</v>
      </c>
      <c r="M43">
        <v>36000</v>
      </c>
      <c r="N43">
        <v>9000</v>
      </c>
    </row>
    <row r="44" spans="1:14" x14ac:dyDescent="0.35">
      <c r="A44">
        <v>1043</v>
      </c>
      <c r="B44" s="1">
        <v>45045</v>
      </c>
      <c r="C44" t="s">
        <v>15</v>
      </c>
      <c r="D44" t="s">
        <v>25</v>
      </c>
      <c r="E44" t="s">
        <v>64</v>
      </c>
      <c r="F44" t="s">
        <v>65</v>
      </c>
      <c r="G44" t="s">
        <v>23</v>
      </c>
      <c r="H44" t="s">
        <v>44</v>
      </c>
      <c r="I44" t="s">
        <v>20</v>
      </c>
      <c r="J44">
        <v>23</v>
      </c>
      <c r="K44">
        <v>6</v>
      </c>
      <c r="L44">
        <v>7000</v>
      </c>
      <c r="M44">
        <v>42000</v>
      </c>
      <c r="N44">
        <v>14700</v>
      </c>
    </row>
    <row r="45" spans="1:14" x14ac:dyDescent="0.35">
      <c r="A45">
        <v>1044</v>
      </c>
      <c r="B45" s="1">
        <v>45048</v>
      </c>
      <c r="C45" t="s">
        <v>15</v>
      </c>
      <c r="D45" t="s">
        <v>31</v>
      </c>
      <c r="E45" t="s">
        <v>66</v>
      </c>
      <c r="F45" t="s">
        <v>67</v>
      </c>
      <c r="G45" t="s">
        <v>18</v>
      </c>
      <c r="H45" t="s">
        <v>19</v>
      </c>
      <c r="I45" t="s">
        <v>30</v>
      </c>
      <c r="J45">
        <v>37</v>
      </c>
      <c r="K45">
        <v>1</v>
      </c>
      <c r="L45">
        <v>49000</v>
      </c>
      <c r="M45">
        <v>49000</v>
      </c>
      <c r="N45">
        <v>12250</v>
      </c>
    </row>
    <row r="46" spans="1:14" x14ac:dyDescent="0.35">
      <c r="A46">
        <v>1045</v>
      </c>
      <c r="B46" s="1">
        <v>45051</v>
      </c>
      <c r="C46" t="s">
        <v>15</v>
      </c>
      <c r="D46" t="s">
        <v>16</v>
      </c>
      <c r="E46" t="s">
        <v>85</v>
      </c>
      <c r="F46" t="s">
        <v>86</v>
      </c>
      <c r="G46" t="s">
        <v>28</v>
      </c>
      <c r="H46" t="s">
        <v>53</v>
      </c>
      <c r="I46" t="s">
        <v>20</v>
      </c>
      <c r="J46">
        <v>46</v>
      </c>
      <c r="K46">
        <v>1</v>
      </c>
      <c r="L46">
        <v>90000</v>
      </c>
      <c r="M46">
        <v>90000</v>
      </c>
      <c r="N46">
        <v>22500</v>
      </c>
    </row>
    <row r="47" spans="1:14" x14ac:dyDescent="0.35">
      <c r="A47">
        <v>1046</v>
      </c>
      <c r="B47" s="1">
        <v>45054</v>
      </c>
      <c r="C47" t="s">
        <v>15</v>
      </c>
      <c r="D47" t="s">
        <v>21</v>
      </c>
      <c r="E47" t="s">
        <v>70</v>
      </c>
      <c r="F47" t="s">
        <v>71</v>
      </c>
      <c r="G47" t="s">
        <v>23</v>
      </c>
      <c r="H47" t="s">
        <v>24</v>
      </c>
      <c r="I47" t="s">
        <v>30</v>
      </c>
      <c r="J47">
        <v>33</v>
      </c>
      <c r="K47">
        <v>2</v>
      </c>
      <c r="L47">
        <v>15000</v>
      </c>
      <c r="M47">
        <v>30000</v>
      </c>
      <c r="N47">
        <v>9000</v>
      </c>
    </row>
    <row r="48" spans="1:14" x14ac:dyDescent="0.35">
      <c r="A48">
        <v>1047</v>
      </c>
      <c r="B48" s="1">
        <v>45057</v>
      </c>
      <c r="C48" t="s">
        <v>15</v>
      </c>
      <c r="D48" t="s">
        <v>25</v>
      </c>
      <c r="E48" t="s">
        <v>72</v>
      </c>
      <c r="F48" t="s">
        <v>73</v>
      </c>
      <c r="G48" t="s">
        <v>18</v>
      </c>
      <c r="H48" t="s">
        <v>33</v>
      </c>
      <c r="I48" t="s">
        <v>20</v>
      </c>
      <c r="J48">
        <v>40</v>
      </c>
      <c r="K48">
        <v>1</v>
      </c>
      <c r="L48">
        <v>122000</v>
      </c>
      <c r="M48">
        <v>122000</v>
      </c>
      <c r="N48">
        <v>30500</v>
      </c>
    </row>
    <row r="49" spans="1:14" x14ac:dyDescent="0.35">
      <c r="A49">
        <v>1048</v>
      </c>
      <c r="B49" s="1">
        <v>45060</v>
      </c>
      <c r="C49" t="s">
        <v>15</v>
      </c>
      <c r="D49" t="s">
        <v>31</v>
      </c>
      <c r="E49" t="s">
        <v>74</v>
      </c>
      <c r="F49" t="s">
        <v>75</v>
      </c>
      <c r="G49" t="s">
        <v>28</v>
      </c>
      <c r="H49" t="s">
        <v>29</v>
      </c>
      <c r="I49" t="s">
        <v>30</v>
      </c>
      <c r="J49">
        <v>43</v>
      </c>
      <c r="K49">
        <v>3</v>
      </c>
      <c r="L49">
        <v>10000</v>
      </c>
      <c r="M49">
        <v>30000</v>
      </c>
      <c r="N49">
        <v>9000</v>
      </c>
    </row>
    <row r="50" spans="1:14" x14ac:dyDescent="0.35">
      <c r="A50">
        <v>1049</v>
      </c>
      <c r="B50" s="1">
        <v>45063</v>
      </c>
      <c r="C50" t="s">
        <v>15</v>
      </c>
      <c r="D50" t="s">
        <v>16</v>
      </c>
      <c r="E50" t="s">
        <v>87</v>
      </c>
      <c r="F50" t="s">
        <v>88</v>
      </c>
      <c r="G50" t="s">
        <v>23</v>
      </c>
      <c r="H50" t="s">
        <v>35</v>
      </c>
      <c r="I50" t="s">
        <v>30</v>
      </c>
      <c r="J50">
        <v>28</v>
      </c>
      <c r="K50">
        <v>4</v>
      </c>
      <c r="L50">
        <v>16000</v>
      </c>
      <c r="M50">
        <v>64000</v>
      </c>
      <c r="N50">
        <v>22400</v>
      </c>
    </row>
    <row r="51" spans="1:14" x14ac:dyDescent="0.35">
      <c r="A51">
        <v>1050</v>
      </c>
      <c r="B51" s="1">
        <v>45066</v>
      </c>
      <c r="C51" t="s">
        <v>15</v>
      </c>
      <c r="D51" t="s">
        <v>21</v>
      </c>
      <c r="E51" t="s">
        <v>22</v>
      </c>
      <c r="F51" t="s">
        <v>22</v>
      </c>
      <c r="G51" t="s">
        <v>18</v>
      </c>
      <c r="H51" t="s">
        <v>38</v>
      </c>
      <c r="I51" t="s">
        <v>20</v>
      </c>
      <c r="J51">
        <v>35</v>
      </c>
      <c r="K51">
        <v>1</v>
      </c>
      <c r="L51">
        <v>72000</v>
      </c>
      <c r="M51">
        <v>72000</v>
      </c>
      <c r="N51">
        <v>18000</v>
      </c>
    </row>
    <row r="52" spans="1:14" x14ac:dyDescent="0.35">
      <c r="A52">
        <v>1051</v>
      </c>
      <c r="B52" s="1">
        <v>45069</v>
      </c>
      <c r="C52" t="s">
        <v>15</v>
      </c>
      <c r="D52" t="s">
        <v>25</v>
      </c>
      <c r="E52" t="s">
        <v>26</v>
      </c>
      <c r="F52" t="s">
        <v>27</v>
      </c>
      <c r="G52" t="s">
        <v>23</v>
      </c>
      <c r="H52" t="s">
        <v>44</v>
      </c>
      <c r="I52" t="s">
        <v>30</v>
      </c>
      <c r="J52">
        <v>25</v>
      </c>
      <c r="K52">
        <v>5</v>
      </c>
      <c r="L52">
        <v>7500</v>
      </c>
      <c r="M52">
        <v>37500</v>
      </c>
      <c r="N52">
        <v>13125</v>
      </c>
    </row>
    <row r="53" spans="1:14" x14ac:dyDescent="0.35">
      <c r="A53">
        <v>1052</v>
      </c>
      <c r="B53" s="1">
        <v>45072</v>
      </c>
      <c r="C53" t="s">
        <v>15</v>
      </c>
      <c r="D53" t="s">
        <v>31</v>
      </c>
      <c r="E53" t="s">
        <v>32</v>
      </c>
      <c r="F53" t="s">
        <v>32</v>
      </c>
      <c r="G53" t="s">
        <v>28</v>
      </c>
      <c r="H53" t="s">
        <v>41</v>
      </c>
      <c r="I53" t="s">
        <v>20</v>
      </c>
      <c r="J53">
        <v>48</v>
      </c>
      <c r="K53">
        <v>1</v>
      </c>
      <c r="L53">
        <v>125000</v>
      </c>
      <c r="M53">
        <v>125000</v>
      </c>
      <c r="N53">
        <v>31250</v>
      </c>
    </row>
    <row r="54" spans="1:14" x14ac:dyDescent="0.35">
      <c r="A54">
        <v>1053</v>
      </c>
      <c r="B54" s="1">
        <v>45075</v>
      </c>
      <c r="C54" t="s">
        <v>15</v>
      </c>
      <c r="D54" t="s">
        <v>16</v>
      </c>
      <c r="E54" t="s">
        <v>89</v>
      </c>
      <c r="F54" t="s">
        <v>90</v>
      </c>
      <c r="G54" t="s">
        <v>18</v>
      </c>
      <c r="H54" t="s">
        <v>46</v>
      </c>
      <c r="I54" t="s">
        <v>30</v>
      </c>
      <c r="J54">
        <v>32</v>
      </c>
      <c r="K54">
        <v>9</v>
      </c>
      <c r="L54">
        <v>5000</v>
      </c>
      <c r="M54">
        <v>45000</v>
      </c>
      <c r="N54">
        <v>11250</v>
      </c>
    </row>
    <row r="55" spans="1:14" x14ac:dyDescent="0.35">
      <c r="A55">
        <v>1054</v>
      </c>
      <c r="B55" s="1">
        <v>45078</v>
      </c>
      <c r="C55" t="s">
        <v>15</v>
      </c>
      <c r="D55" t="s">
        <v>21</v>
      </c>
      <c r="E55" t="s">
        <v>36</v>
      </c>
      <c r="F55" t="s">
        <v>37</v>
      </c>
      <c r="G55" t="s">
        <v>23</v>
      </c>
      <c r="H55" t="s">
        <v>24</v>
      </c>
      <c r="I55" t="s">
        <v>20</v>
      </c>
      <c r="J55">
        <v>39</v>
      </c>
      <c r="K55">
        <v>3</v>
      </c>
      <c r="L55">
        <v>17000</v>
      </c>
      <c r="M55">
        <v>51000</v>
      </c>
      <c r="N55">
        <v>15300</v>
      </c>
    </row>
    <row r="56" spans="1:14" x14ac:dyDescent="0.35">
      <c r="A56">
        <v>1055</v>
      </c>
      <c r="B56" s="1">
        <v>45081</v>
      </c>
      <c r="C56" t="s">
        <v>15</v>
      </c>
      <c r="D56" t="s">
        <v>25</v>
      </c>
      <c r="E56" t="s">
        <v>39</v>
      </c>
      <c r="F56" t="s">
        <v>40</v>
      </c>
      <c r="G56" t="s">
        <v>28</v>
      </c>
      <c r="H56" t="s">
        <v>53</v>
      </c>
      <c r="I56" t="s">
        <v>30</v>
      </c>
      <c r="J56">
        <v>45</v>
      </c>
      <c r="K56">
        <v>1</v>
      </c>
      <c r="L56">
        <v>95000</v>
      </c>
      <c r="M56">
        <v>95000</v>
      </c>
      <c r="N56">
        <v>23750</v>
      </c>
    </row>
    <row r="57" spans="1:14" x14ac:dyDescent="0.35">
      <c r="A57">
        <v>1056</v>
      </c>
      <c r="B57" s="1">
        <v>45084</v>
      </c>
      <c r="C57" t="s">
        <v>15</v>
      </c>
      <c r="D57" t="s">
        <v>31</v>
      </c>
      <c r="E57" t="s">
        <v>42</v>
      </c>
      <c r="F57" t="s">
        <v>43</v>
      </c>
      <c r="G57" t="s">
        <v>18</v>
      </c>
      <c r="H57" t="s">
        <v>19</v>
      </c>
      <c r="I57" t="s">
        <v>20</v>
      </c>
      <c r="J57">
        <v>36</v>
      </c>
      <c r="K57">
        <v>1</v>
      </c>
      <c r="L57">
        <v>50000</v>
      </c>
      <c r="M57">
        <v>50000</v>
      </c>
      <c r="N57">
        <v>12500</v>
      </c>
    </row>
    <row r="58" spans="1:14" x14ac:dyDescent="0.35">
      <c r="A58">
        <v>1057</v>
      </c>
      <c r="B58" s="1">
        <v>45087</v>
      </c>
      <c r="C58" t="s">
        <v>15</v>
      </c>
      <c r="D58" t="s">
        <v>16</v>
      </c>
      <c r="E58" t="s">
        <v>91</v>
      </c>
      <c r="F58" t="s">
        <v>92</v>
      </c>
      <c r="G58" t="s">
        <v>23</v>
      </c>
      <c r="H58" t="s">
        <v>35</v>
      </c>
      <c r="I58" t="s">
        <v>30</v>
      </c>
      <c r="J58">
        <v>29</v>
      </c>
      <c r="K58">
        <v>2</v>
      </c>
      <c r="L58">
        <v>22000</v>
      </c>
      <c r="M58">
        <v>44000</v>
      </c>
      <c r="N58">
        <v>15400</v>
      </c>
    </row>
    <row r="59" spans="1:14" x14ac:dyDescent="0.35">
      <c r="A59">
        <v>1058</v>
      </c>
      <c r="B59" s="1">
        <v>45090</v>
      </c>
      <c r="C59" t="s">
        <v>15</v>
      </c>
      <c r="D59" t="s">
        <v>21</v>
      </c>
      <c r="E59" t="s">
        <v>47</v>
      </c>
      <c r="F59" t="s">
        <v>48</v>
      </c>
      <c r="G59" t="s">
        <v>28</v>
      </c>
      <c r="H59" t="s">
        <v>29</v>
      </c>
      <c r="I59" t="s">
        <v>20</v>
      </c>
      <c r="J59">
        <v>42</v>
      </c>
      <c r="K59">
        <v>4</v>
      </c>
      <c r="L59">
        <v>11000</v>
      </c>
      <c r="M59">
        <v>44000</v>
      </c>
      <c r="N59">
        <v>13200</v>
      </c>
    </row>
    <row r="60" spans="1:14" x14ac:dyDescent="0.35">
      <c r="A60">
        <v>1059</v>
      </c>
      <c r="B60" s="1">
        <v>45093</v>
      </c>
      <c r="C60" t="s">
        <v>15</v>
      </c>
      <c r="D60" t="s">
        <v>25</v>
      </c>
      <c r="E60" t="s">
        <v>49</v>
      </c>
      <c r="F60" t="s">
        <v>50</v>
      </c>
      <c r="G60" t="s">
        <v>18</v>
      </c>
      <c r="H60" t="s">
        <v>33</v>
      </c>
      <c r="I60" t="s">
        <v>30</v>
      </c>
      <c r="J60">
        <v>38</v>
      </c>
      <c r="K60">
        <v>1</v>
      </c>
      <c r="L60">
        <v>130000</v>
      </c>
      <c r="M60">
        <v>130000</v>
      </c>
      <c r="N60">
        <v>32500</v>
      </c>
    </row>
    <row r="61" spans="1:14" x14ac:dyDescent="0.35">
      <c r="A61">
        <v>1060</v>
      </c>
      <c r="B61" s="1">
        <v>45096</v>
      </c>
      <c r="C61" t="s">
        <v>15</v>
      </c>
      <c r="D61" t="s">
        <v>31</v>
      </c>
      <c r="E61" t="s">
        <v>51</v>
      </c>
      <c r="F61" t="s">
        <v>52</v>
      </c>
      <c r="G61" t="s">
        <v>23</v>
      </c>
      <c r="H61" t="s">
        <v>44</v>
      </c>
      <c r="I61" t="s">
        <v>20</v>
      </c>
      <c r="J61">
        <v>24</v>
      </c>
      <c r="K61">
        <v>6</v>
      </c>
      <c r="L61">
        <v>8000</v>
      </c>
      <c r="M61">
        <v>48000</v>
      </c>
      <c r="N61">
        <v>16800</v>
      </c>
    </row>
    <row r="62" spans="1:14" x14ac:dyDescent="0.35">
      <c r="A62">
        <v>1061</v>
      </c>
      <c r="B62" s="1">
        <v>45099</v>
      </c>
      <c r="C62" t="s">
        <v>15</v>
      </c>
      <c r="D62" t="s">
        <v>16</v>
      </c>
      <c r="E62" t="s">
        <v>17</v>
      </c>
      <c r="F62" t="s">
        <v>17</v>
      </c>
      <c r="G62" t="s">
        <v>28</v>
      </c>
      <c r="H62" t="s">
        <v>41</v>
      </c>
      <c r="I62" t="s">
        <v>30</v>
      </c>
      <c r="J62">
        <v>47</v>
      </c>
      <c r="K62">
        <v>1</v>
      </c>
      <c r="L62">
        <v>140000</v>
      </c>
      <c r="M62">
        <v>140000</v>
      </c>
      <c r="N62">
        <v>35000</v>
      </c>
    </row>
    <row r="63" spans="1:14" x14ac:dyDescent="0.35">
      <c r="A63">
        <v>1062</v>
      </c>
      <c r="B63" s="1">
        <v>45102</v>
      </c>
      <c r="C63" t="s">
        <v>15</v>
      </c>
      <c r="D63" t="s">
        <v>21</v>
      </c>
      <c r="E63" t="s">
        <v>55</v>
      </c>
      <c r="F63" t="s">
        <v>56</v>
      </c>
      <c r="G63" t="s">
        <v>18</v>
      </c>
      <c r="H63" t="s">
        <v>38</v>
      </c>
      <c r="I63" t="s">
        <v>20</v>
      </c>
      <c r="J63">
        <v>34</v>
      </c>
      <c r="K63">
        <v>1</v>
      </c>
      <c r="L63">
        <v>75000</v>
      </c>
      <c r="M63">
        <v>75000</v>
      </c>
      <c r="N63">
        <v>18750</v>
      </c>
    </row>
    <row r="64" spans="1:14" x14ac:dyDescent="0.35">
      <c r="A64">
        <v>1063</v>
      </c>
      <c r="B64" s="1">
        <v>45105</v>
      </c>
      <c r="C64" t="s">
        <v>15</v>
      </c>
      <c r="D64" t="s">
        <v>25</v>
      </c>
      <c r="E64" t="s">
        <v>57</v>
      </c>
      <c r="F64" t="s">
        <v>58</v>
      </c>
      <c r="G64" t="s">
        <v>23</v>
      </c>
      <c r="H64" t="s">
        <v>24</v>
      </c>
      <c r="I64" t="s">
        <v>30</v>
      </c>
      <c r="J64">
        <v>31</v>
      </c>
      <c r="K64">
        <v>4</v>
      </c>
      <c r="L64">
        <v>19000</v>
      </c>
      <c r="M64">
        <v>76000</v>
      </c>
      <c r="N64">
        <v>22800</v>
      </c>
    </row>
    <row r="65" spans="1:14" x14ac:dyDescent="0.35">
      <c r="A65">
        <v>1064</v>
      </c>
      <c r="B65" s="1">
        <v>45108</v>
      </c>
      <c r="C65" t="s">
        <v>15</v>
      </c>
      <c r="D65" t="s">
        <v>31</v>
      </c>
      <c r="E65" t="s">
        <v>59</v>
      </c>
      <c r="F65" t="s">
        <v>60</v>
      </c>
      <c r="G65" t="s">
        <v>28</v>
      </c>
      <c r="H65" t="s">
        <v>53</v>
      </c>
      <c r="I65" t="s">
        <v>20</v>
      </c>
      <c r="J65">
        <v>43</v>
      </c>
      <c r="K65">
        <v>1</v>
      </c>
      <c r="L65">
        <v>105000</v>
      </c>
      <c r="M65">
        <v>105000</v>
      </c>
      <c r="N65">
        <v>26250</v>
      </c>
    </row>
    <row r="66" spans="1:14" x14ac:dyDescent="0.35">
      <c r="A66">
        <v>1065</v>
      </c>
      <c r="B66" s="1">
        <v>45111</v>
      </c>
      <c r="C66" t="s">
        <v>15</v>
      </c>
      <c r="D66" t="s">
        <v>16</v>
      </c>
      <c r="E66" t="s">
        <v>34</v>
      </c>
      <c r="F66" t="s">
        <v>34</v>
      </c>
      <c r="G66" t="s">
        <v>18</v>
      </c>
      <c r="H66" t="s">
        <v>46</v>
      </c>
      <c r="I66" t="s">
        <v>30</v>
      </c>
      <c r="J66">
        <v>35</v>
      </c>
      <c r="K66">
        <v>10</v>
      </c>
      <c r="L66">
        <v>5500</v>
      </c>
      <c r="M66">
        <v>55000</v>
      </c>
      <c r="N66">
        <v>13750</v>
      </c>
    </row>
    <row r="67" spans="1:14" x14ac:dyDescent="0.35">
      <c r="A67">
        <v>1066</v>
      </c>
      <c r="B67" s="1">
        <v>45114</v>
      </c>
      <c r="C67" t="s">
        <v>15</v>
      </c>
      <c r="D67" t="s">
        <v>21</v>
      </c>
      <c r="E67" t="s">
        <v>62</v>
      </c>
      <c r="F67" t="s">
        <v>63</v>
      </c>
      <c r="G67" t="s">
        <v>23</v>
      </c>
      <c r="H67" t="s">
        <v>35</v>
      </c>
      <c r="I67" t="s">
        <v>30</v>
      </c>
      <c r="J67">
        <v>30</v>
      </c>
      <c r="K67">
        <v>3</v>
      </c>
      <c r="L67">
        <v>23000</v>
      </c>
      <c r="M67">
        <v>69000</v>
      </c>
      <c r="N67">
        <v>24150</v>
      </c>
    </row>
    <row r="68" spans="1:14" x14ac:dyDescent="0.35">
      <c r="A68">
        <v>1067</v>
      </c>
      <c r="B68" s="1">
        <v>45117</v>
      </c>
      <c r="C68" t="s">
        <v>15</v>
      </c>
      <c r="D68" t="s">
        <v>25</v>
      </c>
      <c r="E68" t="s">
        <v>64</v>
      </c>
      <c r="F68" t="s">
        <v>65</v>
      </c>
      <c r="G68" t="s">
        <v>28</v>
      </c>
      <c r="H68" t="s">
        <v>29</v>
      </c>
      <c r="I68" t="s">
        <v>20</v>
      </c>
      <c r="J68">
        <v>46</v>
      </c>
      <c r="K68">
        <v>5</v>
      </c>
      <c r="L68">
        <v>12000</v>
      </c>
      <c r="M68">
        <v>60000</v>
      </c>
      <c r="N68">
        <v>18000</v>
      </c>
    </row>
    <row r="69" spans="1:14" x14ac:dyDescent="0.35">
      <c r="A69">
        <v>1068</v>
      </c>
      <c r="B69" s="1">
        <v>45120</v>
      </c>
      <c r="C69" t="s">
        <v>15</v>
      </c>
      <c r="D69" t="s">
        <v>31</v>
      </c>
      <c r="E69" t="s">
        <v>66</v>
      </c>
      <c r="F69" t="s">
        <v>67</v>
      </c>
      <c r="G69" t="s">
        <v>18</v>
      </c>
      <c r="H69" t="s">
        <v>19</v>
      </c>
      <c r="I69" t="s">
        <v>30</v>
      </c>
      <c r="J69">
        <v>37</v>
      </c>
      <c r="K69">
        <v>1</v>
      </c>
      <c r="L69">
        <v>52000</v>
      </c>
      <c r="M69">
        <v>52000</v>
      </c>
      <c r="N69">
        <v>13000</v>
      </c>
    </row>
    <row r="70" spans="1:14" x14ac:dyDescent="0.35">
      <c r="A70">
        <v>1069</v>
      </c>
      <c r="B70" s="1">
        <v>45123</v>
      </c>
      <c r="C70" t="s">
        <v>15</v>
      </c>
      <c r="D70" t="s">
        <v>16</v>
      </c>
      <c r="E70" t="s">
        <v>45</v>
      </c>
      <c r="F70" t="s">
        <v>45</v>
      </c>
      <c r="G70" t="s">
        <v>23</v>
      </c>
      <c r="H70" t="s">
        <v>44</v>
      </c>
      <c r="I70" t="s">
        <v>20</v>
      </c>
      <c r="J70">
        <v>25</v>
      </c>
      <c r="K70">
        <v>7</v>
      </c>
      <c r="L70">
        <v>8500</v>
      </c>
      <c r="M70">
        <v>59500</v>
      </c>
      <c r="N70">
        <v>20825</v>
      </c>
    </row>
    <row r="71" spans="1:14" x14ac:dyDescent="0.35">
      <c r="A71">
        <v>1070</v>
      </c>
      <c r="B71" s="1">
        <v>45126</v>
      </c>
      <c r="C71" t="s">
        <v>15</v>
      </c>
      <c r="D71" t="s">
        <v>21</v>
      </c>
      <c r="E71" t="s">
        <v>70</v>
      </c>
      <c r="F71" t="s">
        <v>71</v>
      </c>
      <c r="G71" t="s">
        <v>28</v>
      </c>
      <c r="H71" t="s">
        <v>41</v>
      </c>
      <c r="I71" t="s">
        <v>30</v>
      </c>
      <c r="J71">
        <v>44</v>
      </c>
      <c r="K71">
        <v>1</v>
      </c>
      <c r="L71">
        <v>150000</v>
      </c>
      <c r="M71">
        <v>150000</v>
      </c>
      <c r="N71">
        <v>37500</v>
      </c>
    </row>
    <row r="72" spans="1:14" x14ac:dyDescent="0.35">
      <c r="A72">
        <v>1071</v>
      </c>
      <c r="B72" s="1">
        <v>45129</v>
      </c>
      <c r="C72" t="s">
        <v>15</v>
      </c>
      <c r="D72" t="s">
        <v>25</v>
      </c>
      <c r="E72" t="s">
        <v>72</v>
      </c>
      <c r="F72" t="s">
        <v>73</v>
      </c>
      <c r="G72" t="s">
        <v>18</v>
      </c>
      <c r="H72" t="s">
        <v>33</v>
      </c>
      <c r="I72" t="s">
        <v>20</v>
      </c>
      <c r="J72">
        <v>39</v>
      </c>
      <c r="K72">
        <v>1</v>
      </c>
      <c r="L72">
        <v>135000</v>
      </c>
      <c r="M72">
        <v>135000</v>
      </c>
      <c r="N72">
        <v>33750</v>
      </c>
    </row>
    <row r="73" spans="1:14" x14ac:dyDescent="0.35">
      <c r="A73">
        <v>1072</v>
      </c>
      <c r="B73" s="1">
        <v>45132</v>
      </c>
      <c r="C73" t="s">
        <v>15</v>
      </c>
      <c r="D73" t="s">
        <v>31</v>
      </c>
      <c r="E73" t="s">
        <v>74</v>
      </c>
      <c r="F73" t="s">
        <v>75</v>
      </c>
      <c r="G73" t="s">
        <v>23</v>
      </c>
      <c r="H73" t="s">
        <v>24</v>
      </c>
      <c r="I73" t="s">
        <v>30</v>
      </c>
      <c r="J73">
        <v>32</v>
      </c>
      <c r="K73">
        <v>5</v>
      </c>
      <c r="L73">
        <v>20000</v>
      </c>
      <c r="M73">
        <v>100000</v>
      </c>
      <c r="N73">
        <v>30000</v>
      </c>
    </row>
    <row r="74" spans="1:14" x14ac:dyDescent="0.35">
      <c r="A74">
        <v>1073</v>
      </c>
      <c r="B74" s="1">
        <v>45135</v>
      </c>
      <c r="C74" t="s">
        <v>15</v>
      </c>
      <c r="D74" t="s">
        <v>16</v>
      </c>
      <c r="E74" t="s">
        <v>54</v>
      </c>
      <c r="F74" t="s">
        <v>54</v>
      </c>
      <c r="G74" t="s">
        <v>28</v>
      </c>
      <c r="H74" t="s">
        <v>53</v>
      </c>
      <c r="I74" t="s">
        <v>20</v>
      </c>
      <c r="J74">
        <v>48</v>
      </c>
      <c r="K74">
        <v>1</v>
      </c>
      <c r="L74">
        <v>115000</v>
      </c>
      <c r="M74">
        <v>115000</v>
      </c>
      <c r="N74">
        <v>28750</v>
      </c>
    </row>
    <row r="75" spans="1:14" x14ac:dyDescent="0.35">
      <c r="A75">
        <v>1074</v>
      </c>
      <c r="B75" s="1">
        <v>45138</v>
      </c>
      <c r="C75" t="s">
        <v>15</v>
      </c>
      <c r="D75" t="s">
        <v>21</v>
      </c>
      <c r="E75" t="s">
        <v>22</v>
      </c>
      <c r="F75" t="s">
        <v>22</v>
      </c>
      <c r="G75" t="s">
        <v>18</v>
      </c>
      <c r="H75" t="s">
        <v>38</v>
      </c>
      <c r="I75" t="s">
        <v>30</v>
      </c>
      <c r="J75">
        <v>36</v>
      </c>
      <c r="K75">
        <v>1</v>
      </c>
      <c r="L75">
        <v>78000</v>
      </c>
      <c r="M75">
        <v>78000</v>
      </c>
      <c r="N75">
        <v>19500</v>
      </c>
    </row>
    <row r="76" spans="1:14" x14ac:dyDescent="0.35">
      <c r="A76">
        <v>1075</v>
      </c>
      <c r="B76" s="1">
        <v>45141</v>
      </c>
      <c r="C76" t="s">
        <v>15</v>
      </c>
      <c r="D76" t="s">
        <v>25</v>
      </c>
      <c r="E76" t="s">
        <v>26</v>
      </c>
      <c r="F76" t="s">
        <v>27</v>
      </c>
      <c r="G76" t="s">
        <v>23</v>
      </c>
      <c r="H76" t="s">
        <v>35</v>
      </c>
      <c r="I76" t="s">
        <v>30</v>
      </c>
      <c r="J76">
        <v>28</v>
      </c>
      <c r="K76">
        <v>4</v>
      </c>
      <c r="L76">
        <v>24000</v>
      </c>
      <c r="M76">
        <v>96000</v>
      </c>
      <c r="N76">
        <v>33600</v>
      </c>
    </row>
    <row r="77" spans="1:14" x14ac:dyDescent="0.35">
      <c r="A77">
        <v>1076</v>
      </c>
      <c r="B77" s="1">
        <v>45144</v>
      </c>
      <c r="C77" t="s">
        <v>15</v>
      </c>
      <c r="D77" t="s">
        <v>31</v>
      </c>
      <c r="E77" t="s">
        <v>32</v>
      </c>
      <c r="F77" t="s">
        <v>32</v>
      </c>
      <c r="G77" t="s">
        <v>28</v>
      </c>
      <c r="H77" t="s">
        <v>29</v>
      </c>
      <c r="I77" t="s">
        <v>20</v>
      </c>
      <c r="J77">
        <v>42</v>
      </c>
      <c r="K77">
        <v>6</v>
      </c>
      <c r="L77">
        <v>13000</v>
      </c>
      <c r="M77">
        <v>78000</v>
      </c>
      <c r="N77">
        <v>23400</v>
      </c>
    </row>
    <row r="78" spans="1:14" x14ac:dyDescent="0.35">
      <c r="A78">
        <v>1077</v>
      </c>
      <c r="B78" s="1">
        <v>45147</v>
      </c>
      <c r="C78" t="s">
        <v>15</v>
      </c>
      <c r="D78" t="s">
        <v>16</v>
      </c>
      <c r="E78" t="s">
        <v>61</v>
      </c>
      <c r="F78" t="s">
        <v>61</v>
      </c>
      <c r="G78" t="s">
        <v>18</v>
      </c>
      <c r="H78" t="s">
        <v>46</v>
      </c>
      <c r="I78" t="s">
        <v>30</v>
      </c>
      <c r="J78">
        <v>34</v>
      </c>
      <c r="K78">
        <v>11</v>
      </c>
      <c r="L78">
        <v>6000</v>
      </c>
      <c r="M78">
        <v>66000</v>
      </c>
      <c r="N78">
        <v>16500</v>
      </c>
    </row>
    <row r="79" spans="1:14" x14ac:dyDescent="0.35">
      <c r="A79">
        <v>1078</v>
      </c>
      <c r="B79" s="1">
        <v>45150</v>
      </c>
      <c r="C79" t="s">
        <v>15</v>
      </c>
      <c r="D79" t="s">
        <v>21</v>
      </c>
      <c r="E79" t="s">
        <v>36</v>
      </c>
      <c r="F79" t="s">
        <v>37</v>
      </c>
      <c r="G79" t="s">
        <v>23</v>
      </c>
      <c r="H79" t="s">
        <v>44</v>
      </c>
      <c r="I79" t="s">
        <v>20</v>
      </c>
      <c r="J79">
        <v>23</v>
      </c>
      <c r="K79">
        <v>8</v>
      </c>
      <c r="L79">
        <v>9000</v>
      </c>
      <c r="M79">
        <v>72000</v>
      </c>
      <c r="N79">
        <v>25200</v>
      </c>
    </row>
    <row r="80" spans="1:14" x14ac:dyDescent="0.35">
      <c r="A80">
        <v>1079</v>
      </c>
      <c r="B80" s="1">
        <v>45153</v>
      </c>
      <c r="C80" t="s">
        <v>15</v>
      </c>
      <c r="D80" t="s">
        <v>25</v>
      </c>
      <c r="E80" t="s">
        <v>39</v>
      </c>
      <c r="F80" t="s">
        <v>40</v>
      </c>
      <c r="G80" t="s">
        <v>28</v>
      </c>
      <c r="H80" t="s">
        <v>41</v>
      </c>
      <c r="I80" t="s">
        <v>30</v>
      </c>
      <c r="J80">
        <v>45</v>
      </c>
      <c r="K80">
        <v>1</v>
      </c>
      <c r="L80">
        <v>160000</v>
      </c>
      <c r="M80">
        <v>160000</v>
      </c>
      <c r="N80">
        <v>40000</v>
      </c>
    </row>
    <row r="81" spans="1:14" x14ac:dyDescent="0.35">
      <c r="A81">
        <v>1080</v>
      </c>
      <c r="B81" s="1">
        <v>45156</v>
      </c>
      <c r="C81" t="s">
        <v>15</v>
      </c>
      <c r="D81" t="s">
        <v>31</v>
      </c>
      <c r="E81" t="s">
        <v>42</v>
      </c>
      <c r="F81" t="s">
        <v>43</v>
      </c>
      <c r="G81" t="s">
        <v>18</v>
      </c>
      <c r="H81" t="s">
        <v>19</v>
      </c>
      <c r="I81" t="s">
        <v>20</v>
      </c>
      <c r="J81">
        <v>38</v>
      </c>
      <c r="K81">
        <v>1</v>
      </c>
      <c r="L81">
        <v>54000</v>
      </c>
      <c r="M81">
        <v>54000</v>
      </c>
      <c r="N81">
        <v>13500</v>
      </c>
    </row>
    <row r="82" spans="1:14" x14ac:dyDescent="0.35">
      <c r="A82">
        <v>1081</v>
      </c>
      <c r="B82" s="1">
        <v>45159</v>
      </c>
      <c r="C82" t="s">
        <v>15</v>
      </c>
      <c r="D82" t="s">
        <v>16</v>
      </c>
      <c r="E82" t="s">
        <v>68</v>
      </c>
      <c r="F82" t="s">
        <v>69</v>
      </c>
      <c r="G82" t="s">
        <v>23</v>
      </c>
      <c r="H82" t="s">
        <v>24</v>
      </c>
      <c r="I82" t="s">
        <v>30</v>
      </c>
      <c r="J82">
        <v>31</v>
      </c>
      <c r="K82">
        <v>6</v>
      </c>
      <c r="L82">
        <v>21000</v>
      </c>
      <c r="M82">
        <v>126000</v>
      </c>
      <c r="N82">
        <v>37800</v>
      </c>
    </row>
    <row r="83" spans="1:14" x14ac:dyDescent="0.35">
      <c r="A83">
        <v>1082</v>
      </c>
      <c r="B83" s="1">
        <v>45162</v>
      </c>
      <c r="C83" t="s">
        <v>15</v>
      </c>
      <c r="D83" t="s">
        <v>21</v>
      </c>
      <c r="E83" t="s">
        <v>47</v>
      </c>
      <c r="F83" t="s">
        <v>48</v>
      </c>
      <c r="G83" t="s">
        <v>28</v>
      </c>
      <c r="H83" t="s">
        <v>53</v>
      </c>
      <c r="I83" t="s">
        <v>20</v>
      </c>
      <c r="J83">
        <v>43</v>
      </c>
      <c r="K83">
        <v>1</v>
      </c>
      <c r="L83">
        <v>125000</v>
      </c>
      <c r="M83">
        <v>125000</v>
      </c>
      <c r="N83">
        <v>31250</v>
      </c>
    </row>
    <row r="84" spans="1:14" x14ac:dyDescent="0.35">
      <c r="A84">
        <v>1083</v>
      </c>
      <c r="B84" s="1">
        <v>45165</v>
      </c>
      <c r="C84" t="s">
        <v>15</v>
      </c>
      <c r="D84" t="s">
        <v>25</v>
      </c>
      <c r="E84" t="s">
        <v>49</v>
      </c>
      <c r="F84" t="s">
        <v>50</v>
      </c>
      <c r="G84" t="s">
        <v>18</v>
      </c>
      <c r="H84" t="s">
        <v>33</v>
      </c>
      <c r="I84" t="s">
        <v>30</v>
      </c>
      <c r="J84">
        <v>37</v>
      </c>
      <c r="K84">
        <v>1</v>
      </c>
      <c r="L84">
        <v>140000</v>
      </c>
      <c r="M84">
        <v>140000</v>
      </c>
      <c r="N84">
        <v>35000</v>
      </c>
    </row>
    <row r="85" spans="1:14" x14ac:dyDescent="0.35">
      <c r="A85">
        <v>1084</v>
      </c>
      <c r="B85" s="1">
        <v>45168</v>
      </c>
      <c r="C85" t="s">
        <v>15</v>
      </c>
      <c r="D85" t="s">
        <v>31</v>
      </c>
      <c r="E85" t="s">
        <v>51</v>
      </c>
      <c r="F85" t="s">
        <v>52</v>
      </c>
      <c r="G85" t="s">
        <v>23</v>
      </c>
      <c r="H85" t="s">
        <v>35</v>
      </c>
      <c r="I85" t="s">
        <v>30</v>
      </c>
      <c r="J85">
        <v>29</v>
      </c>
      <c r="K85">
        <v>5</v>
      </c>
      <c r="L85">
        <v>25000</v>
      </c>
      <c r="M85">
        <v>125000</v>
      </c>
      <c r="N85">
        <v>43750</v>
      </c>
    </row>
    <row r="86" spans="1:14" x14ac:dyDescent="0.35">
      <c r="A86">
        <v>1085</v>
      </c>
      <c r="B86" s="1">
        <v>45171</v>
      </c>
      <c r="C86" t="s">
        <v>15</v>
      </c>
      <c r="D86" t="s">
        <v>16</v>
      </c>
      <c r="E86" t="s">
        <v>76</v>
      </c>
      <c r="F86" t="s">
        <v>77</v>
      </c>
      <c r="G86" t="s">
        <v>28</v>
      </c>
      <c r="H86" t="s">
        <v>29</v>
      </c>
      <c r="I86" t="s">
        <v>20</v>
      </c>
      <c r="J86">
        <v>46</v>
      </c>
      <c r="K86">
        <v>7</v>
      </c>
      <c r="L86">
        <v>14000</v>
      </c>
      <c r="M86">
        <v>98000</v>
      </c>
      <c r="N86">
        <v>29400</v>
      </c>
    </row>
    <row r="87" spans="1:14" x14ac:dyDescent="0.35">
      <c r="A87">
        <v>1086</v>
      </c>
      <c r="B87" s="1">
        <v>45174</v>
      </c>
      <c r="C87" t="s">
        <v>15</v>
      </c>
      <c r="D87" t="s">
        <v>21</v>
      </c>
      <c r="E87" t="s">
        <v>55</v>
      </c>
      <c r="F87" t="s">
        <v>56</v>
      </c>
      <c r="G87" t="s">
        <v>18</v>
      </c>
      <c r="H87" t="s">
        <v>38</v>
      </c>
      <c r="I87" t="s">
        <v>30</v>
      </c>
      <c r="J87">
        <v>35</v>
      </c>
      <c r="K87">
        <v>1</v>
      </c>
      <c r="L87">
        <v>80000</v>
      </c>
      <c r="M87">
        <v>80000</v>
      </c>
      <c r="N87">
        <v>20000</v>
      </c>
    </row>
    <row r="88" spans="1:14" x14ac:dyDescent="0.35">
      <c r="A88">
        <v>1087</v>
      </c>
      <c r="B88" s="1">
        <v>45177</v>
      </c>
      <c r="C88" t="s">
        <v>15</v>
      </c>
      <c r="D88" t="s">
        <v>25</v>
      </c>
      <c r="E88" t="s">
        <v>57</v>
      </c>
      <c r="F88" t="s">
        <v>58</v>
      </c>
      <c r="G88" t="s">
        <v>23</v>
      </c>
      <c r="H88" t="s">
        <v>44</v>
      </c>
      <c r="I88" t="s">
        <v>20</v>
      </c>
      <c r="J88">
        <v>24</v>
      </c>
      <c r="K88">
        <v>9</v>
      </c>
      <c r="L88">
        <v>9500</v>
      </c>
      <c r="M88">
        <v>85500</v>
      </c>
      <c r="N88">
        <v>29925</v>
      </c>
    </row>
    <row r="89" spans="1:14" x14ac:dyDescent="0.35">
      <c r="A89">
        <v>1088</v>
      </c>
      <c r="B89" s="1">
        <v>45180</v>
      </c>
      <c r="C89" t="s">
        <v>15</v>
      </c>
      <c r="D89" t="s">
        <v>31</v>
      </c>
      <c r="E89" t="s">
        <v>59</v>
      </c>
      <c r="F89" t="s">
        <v>60</v>
      </c>
      <c r="G89" t="s">
        <v>28</v>
      </c>
      <c r="H89" t="s">
        <v>41</v>
      </c>
      <c r="I89" t="s">
        <v>30</v>
      </c>
      <c r="J89">
        <v>44</v>
      </c>
      <c r="K89">
        <v>1</v>
      </c>
      <c r="L89">
        <v>170000</v>
      </c>
      <c r="M89">
        <v>170000</v>
      </c>
      <c r="N89">
        <v>42500</v>
      </c>
    </row>
    <row r="90" spans="1:14" x14ac:dyDescent="0.35">
      <c r="A90">
        <v>1089</v>
      </c>
      <c r="B90" s="1">
        <v>45183</v>
      </c>
      <c r="C90" t="s">
        <v>15</v>
      </c>
      <c r="D90" t="s">
        <v>16</v>
      </c>
      <c r="E90" t="s">
        <v>78</v>
      </c>
      <c r="F90" t="s">
        <v>79</v>
      </c>
      <c r="G90" t="s">
        <v>18</v>
      </c>
      <c r="H90" t="s">
        <v>46</v>
      </c>
      <c r="I90" t="s">
        <v>20</v>
      </c>
      <c r="J90">
        <v>39</v>
      </c>
      <c r="K90">
        <v>12</v>
      </c>
      <c r="L90">
        <v>6500</v>
      </c>
      <c r="M90">
        <v>78000</v>
      </c>
      <c r="N90">
        <v>19500</v>
      </c>
    </row>
    <row r="91" spans="1:14" x14ac:dyDescent="0.35">
      <c r="A91">
        <v>1090</v>
      </c>
      <c r="B91" s="1">
        <v>45186</v>
      </c>
      <c r="C91" t="s">
        <v>15</v>
      </c>
      <c r="D91" t="s">
        <v>21</v>
      </c>
      <c r="E91" t="s">
        <v>62</v>
      </c>
      <c r="F91" t="s">
        <v>63</v>
      </c>
      <c r="G91" t="s">
        <v>23</v>
      </c>
      <c r="H91" t="s">
        <v>24</v>
      </c>
      <c r="I91" t="s">
        <v>30</v>
      </c>
      <c r="J91">
        <v>32</v>
      </c>
      <c r="K91">
        <v>7</v>
      </c>
      <c r="L91">
        <v>22000</v>
      </c>
      <c r="M91">
        <v>154000</v>
      </c>
      <c r="N91">
        <v>46200</v>
      </c>
    </row>
    <row r="92" spans="1:14" x14ac:dyDescent="0.35">
      <c r="A92">
        <v>1091</v>
      </c>
      <c r="B92" s="1">
        <v>45189</v>
      </c>
      <c r="C92" t="s">
        <v>15</v>
      </c>
      <c r="D92" t="s">
        <v>25</v>
      </c>
      <c r="E92" t="s">
        <v>64</v>
      </c>
      <c r="F92" t="s">
        <v>65</v>
      </c>
      <c r="G92" t="s">
        <v>28</v>
      </c>
      <c r="H92" t="s">
        <v>53</v>
      </c>
      <c r="I92" t="s">
        <v>20</v>
      </c>
      <c r="J92">
        <v>47</v>
      </c>
      <c r="K92">
        <v>1</v>
      </c>
      <c r="L92">
        <v>135000</v>
      </c>
      <c r="M92">
        <v>135000</v>
      </c>
      <c r="N92">
        <v>33750</v>
      </c>
    </row>
    <row r="93" spans="1:14" x14ac:dyDescent="0.35">
      <c r="A93">
        <v>1092</v>
      </c>
      <c r="B93" s="1">
        <v>45192</v>
      </c>
      <c r="C93" t="s">
        <v>15</v>
      </c>
      <c r="D93" t="s">
        <v>31</v>
      </c>
      <c r="E93" t="s">
        <v>66</v>
      </c>
      <c r="F93" t="s">
        <v>67</v>
      </c>
      <c r="G93" t="s">
        <v>18</v>
      </c>
      <c r="H93" t="s">
        <v>19</v>
      </c>
      <c r="I93" t="s">
        <v>30</v>
      </c>
      <c r="J93">
        <v>36</v>
      </c>
      <c r="K93">
        <v>1</v>
      </c>
      <c r="L93">
        <v>56000</v>
      </c>
      <c r="M93">
        <v>56000</v>
      </c>
      <c r="N93">
        <v>14000</v>
      </c>
    </row>
    <row r="94" spans="1:14" x14ac:dyDescent="0.35">
      <c r="A94">
        <v>1093</v>
      </c>
      <c r="B94" s="1">
        <v>45195</v>
      </c>
      <c r="C94" t="s">
        <v>15</v>
      </c>
      <c r="D94" t="s">
        <v>16</v>
      </c>
      <c r="E94" t="s">
        <v>80</v>
      </c>
      <c r="F94" t="s">
        <v>80</v>
      </c>
      <c r="G94" t="s">
        <v>23</v>
      </c>
      <c r="H94" t="s">
        <v>35</v>
      </c>
      <c r="I94" t="s">
        <v>30</v>
      </c>
      <c r="J94">
        <v>27</v>
      </c>
      <c r="K94">
        <v>6</v>
      </c>
      <c r="L94">
        <v>26000</v>
      </c>
      <c r="M94">
        <v>156000</v>
      </c>
      <c r="N94">
        <v>54600</v>
      </c>
    </row>
    <row r="95" spans="1:14" x14ac:dyDescent="0.35">
      <c r="A95">
        <v>1094</v>
      </c>
      <c r="B95" s="1">
        <v>45198</v>
      </c>
      <c r="C95" t="s">
        <v>15</v>
      </c>
      <c r="D95" t="s">
        <v>21</v>
      </c>
      <c r="E95" t="s">
        <v>70</v>
      </c>
      <c r="F95" t="s">
        <v>71</v>
      </c>
      <c r="G95" t="s">
        <v>28</v>
      </c>
      <c r="H95" t="s">
        <v>29</v>
      </c>
      <c r="I95" t="s">
        <v>20</v>
      </c>
      <c r="J95">
        <v>41</v>
      </c>
      <c r="K95">
        <v>8</v>
      </c>
      <c r="L95">
        <v>15000</v>
      </c>
      <c r="M95">
        <v>120000</v>
      </c>
      <c r="N95">
        <v>36000</v>
      </c>
    </row>
    <row r="96" spans="1:14" x14ac:dyDescent="0.35">
      <c r="A96">
        <v>1095</v>
      </c>
      <c r="B96" s="1">
        <v>45201</v>
      </c>
      <c r="C96" t="s">
        <v>15</v>
      </c>
      <c r="D96" t="s">
        <v>25</v>
      </c>
      <c r="E96" t="s">
        <v>72</v>
      </c>
      <c r="F96" t="s">
        <v>73</v>
      </c>
      <c r="G96" t="s">
        <v>18</v>
      </c>
      <c r="H96" t="s">
        <v>33</v>
      </c>
      <c r="I96" t="s">
        <v>30</v>
      </c>
      <c r="J96">
        <v>38</v>
      </c>
      <c r="K96">
        <v>1</v>
      </c>
      <c r="L96">
        <v>145000</v>
      </c>
      <c r="M96">
        <v>145000</v>
      </c>
      <c r="N96">
        <v>36250</v>
      </c>
    </row>
    <row r="97" spans="1:14" x14ac:dyDescent="0.35">
      <c r="A97">
        <v>1096</v>
      </c>
      <c r="B97" s="1">
        <v>45204</v>
      </c>
      <c r="C97" t="s">
        <v>15</v>
      </c>
      <c r="D97" t="s">
        <v>31</v>
      </c>
      <c r="E97" t="s">
        <v>74</v>
      </c>
      <c r="F97" t="s">
        <v>75</v>
      </c>
      <c r="G97" t="s">
        <v>23</v>
      </c>
      <c r="H97" t="s">
        <v>44</v>
      </c>
      <c r="I97" t="s">
        <v>20</v>
      </c>
      <c r="J97">
        <v>25</v>
      </c>
      <c r="K97">
        <v>10</v>
      </c>
      <c r="L97">
        <v>10000</v>
      </c>
      <c r="M97">
        <v>100000</v>
      </c>
      <c r="N97">
        <v>35000</v>
      </c>
    </row>
    <row r="98" spans="1:14" x14ac:dyDescent="0.35">
      <c r="A98">
        <v>1097</v>
      </c>
      <c r="B98" s="1">
        <v>45207</v>
      </c>
      <c r="C98" t="s">
        <v>15</v>
      </c>
      <c r="D98" t="s">
        <v>16</v>
      </c>
      <c r="E98" t="s">
        <v>81</v>
      </c>
      <c r="F98" t="s">
        <v>82</v>
      </c>
      <c r="G98" t="s">
        <v>28</v>
      </c>
      <c r="H98" t="s">
        <v>41</v>
      </c>
      <c r="I98" t="s">
        <v>30</v>
      </c>
      <c r="J98">
        <v>45</v>
      </c>
      <c r="K98">
        <v>1</v>
      </c>
      <c r="L98">
        <v>180000</v>
      </c>
      <c r="M98">
        <v>180000</v>
      </c>
      <c r="N98">
        <v>45000</v>
      </c>
    </row>
    <row r="99" spans="1:14" x14ac:dyDescent="0.35">
      <c r="A99">
        <v>1098</v>
      </c>
      <c r="B99" s="1">
        <v>45210</v>
      </c>
      <c r="C99" t="s">
        <v>15</v>
      </c>
      <c r="D99" t="s">
        <v>21</v>
      </c>
      <c r="E99" t="s">
        <v>22</v>
      </c>
      <c r="F99" t="s">
        <v>22</v>
      </c>
      <c r="G99" t="s">
        <v>18</v>
      </c>
      <c r="H99" t="s">
        <v>38</v>
      </c>
      <c r="I99" t="s">
        <v>20</v>
      </c>
      <c r="J99">
        <v>34</v>
      </c>
      <c r="K99">
        <v>1</v>
      </c>
      <c r="L99">
        <v>82000</v>
      </c>
      <c r="M99">
        <v>82000</v>
      </c>
      <c r="N99">
        <v>20500</v>
      </c>
    </row>
    <row r="100" spans="1:14" x14ac:dyDescent="0.35">
      <c r="A100">
        <v>1099</v>
      </c>
      <c r="B100" s="1">
        <v>45213</v>
      </c>
      <c r="C100" t="s">
        <v>15</v>
      </c>
      <c r="D100" t="s">
        <v>25</v>
      </c>
      <c r="E100" t="s">
        <v>26</v>
      </c>
      <c r="F100" t="s">
        <v>27</v>
      </c>
      <c r="G100" t="s">
        <v>23</v>
      </c>
      <c r="H100" t="s">
        <v>24</v>
      </c>
      <c r="I100" t="s">
        <v>30</v>
      </c>
      <c r="J100">
        <v>31</v>
      </c>
      <c r="K100">
        <v>8</v>
      </c>
      <c r="L100">
        <v>23000</v>
      </c>
      <c r="M100">
        <v>184000</v>
      </c>
      <c r="N100">
        <v>55200</v>
      </c>
    </row>
    <row r="101" spans="1:14" x14ac:dyDescent="0.35">
      <c r="A101">
        <v>1100</v>
      </c>
      <c r="B101" s="1">
        <v>45216</v>
      </c>
      <c r="C101" t="s">
        <v>15</v>
      </c>
      <c r="D101" t="s">
        <v>31</v>
      </c>
      <c r="E101" t="s">
        <v>32</v>
      </c>
      <c r="F101" t="s">
        <v>32</v>
      </c>
      <c r="G101" t="s">
        <v>28</v>
      </c>
      <c r="H101" t="s">
        <v>53</v>
      </c>
      <c r="I101" t="s">
        <v>20</v>
      </c>
      <c r="J101">
        <v>42</v>
      </c>
      <c r="K101">
        <v>1</v>
      </c>
      <c r="L101">
        <v>145000</v>
      </c>
      <c r="M101">
        <v>145000</v>
      </c>
      <c r="N101">
        <v>36250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40F8A-1BFF-4C6F-A18D-06EB2129BA76}">
  <sheetPr codeName="Sheet2"/>
  <dimension ref="A1:F36"/>
  <sheetViews>
    <sheetView workbookViewId="0">
      <selection activeCell="H14" sqref="H14"/>
    </sheetView>
  </sheetViews>
  <sheetFormatPr defaultRowHeight="14.5" x14ac:dyDescent="0.35"/>
  <cols>
    <col min="1" max="1" width="12.36328125" bestFit="1" customWidth="1"/>
    <col min="2" max="2" width="15.6328125" bestFit="1" customWidth="1"/>
    <col min="5" max="5" width="11.08984375" customWidth="1"/>
    <col min="6" max="6" width="14.90625" customWidth="1"/>
  </cols>
  <sheetData>
    <row r="1" spans="1:6" x14ac:dyDescent="0.35">
      <c r="A1" s="2" t="s">
        <v>3</v>
      </c>
      <c r="B1" t="s">
        <v>108</v>
      </c>
    </row>
    <row r="3" spans="1:6" x14ac:dyDescent="0.35">
      <c r="A3" s="2" t="s">
        <v>93</v>
      </c>
      <c r="B3" t="s">
        <v>94</v>
      </c>
      <c r="E3" s="7" t="s">
        <v>4</v>
      </c>
      <c r="F3" s="7" t="s">
        <v>109</v>
      </c>
    </row>
    <row r="4" spans="1:6" x14ac:dyDescent="0.35">
      <c r="A4" s="5" t="s">
        <v>59</v>
      </c>
      <c r="B4" s="10">
        <v>351000</v>
      </c>
      <c r="E4" s="5" t="s">
        <v>59</v>
      </c>
      <c r="F4" s="6">
        <v>351000</v>
      </c>
    </row>
    <row r="5" spans="1:6" x14ac:dyDescent="0.35">
      <c r="A5" s="5" t="s">
        <v>87</v>
      </c>
      <c r="B5" s="10">
        <v>64000</v>
      </c>
      <c r="E5" s="5" t="s">
        <v>87</v>
      </c>
      <c r="F5" s="6">
        <v>64000</v>
      </c>
    </row>
    <row r="6" spans="1:6" x14ac:dyDescent="0.35">
      <c r="A6" s="5" t="s">
        <v>62</v>
      </c>
      <c r="B6" s="10">
        <v>277000</v>
      </c>
      <c r="E6" s="5" t="s">
        <v>62</v>
      </c>
      <c r="F6" s="6">
        <v>277000</v>
      </c>
    </row>
    <row r="7" spans="1:6" x14ac:dyDescent="0.35">
      <c r="A7" s="5" t="s">
        <v>42</v>
      </c>
      <c r="B7" s="10">
        <v>162000</v>
      </c>
      <c r="E7" s="5" t="s">
        <v>42</v>
      </c>
      <c r="F7" s="6">
        <v>162000</v>
      </c>
    </row>
    <row r="8" spans="1:6" x14ac:dyDescent="0.35">
      <c r="A8" s="5" t="s">
        <v>61</v>
      </c>
      <c r="B8" s="10">
        <v>128000</v>
      </c>
      <c r="E8" s="5" t="s">
        <v>61</v>
      </c>
      <c r="F8" s="6">
        <v>128000</v>
      </c>
    </row>
    <row r="9" spans="1:6" x14ac:dyDescent="0.35">
      <c r="A9" s="5" t="s">
        <v>70</v>
      </c>
      <c r="B9" s="10">
        <v>346000</v>
      </c>
      <c r="E9" s="5" t="s">
        <v>70</v>
      </c>
      <c r="F9" s="6">
        <v>346000</v>
      </c>
    </row>
    <row r="10" spans="1:6" x14ac:dyDescent="0.35">
      <c r="A10" s="5" t="s">
        <v>76</v>
      </c>
      <c r="B10" s="10">
        <v>223000</v>
      </c>
      <c r="E10" s="5" t="s">
        <v>76</v>
      </c>
      <c r="F10" s="6">
        <v>223000</v>
      </c>
    </row>
    <row r="11" spans="1:6" x14ac:dyDescent="0.35">
      <c r="A11" s="5" t="s">
        <v>74</v>
      </c>
      <c r="B11" s="10">
        <v>281000</v>
      </c>
      <c r="E11" s="5" t="s">
        <v>74</v>
      </c>
      <c r="F11" s="6">
        <v>281000</v>
      </c>
    </row>
    <row r="12" spans="1:6" x14ac:dyDescent="0.35">
      <c r="A12" s="5" t="s">
        <v>47</v>
      </c>
      <c r="B12" s="10">
        <v>290000</v>
      </c>
      <c r="E12" s="5" t="s">
        <v>47</v>
      </c>
      <c r="F12" s="6">
        <v>290000</v>
      </c>
    </row>
    <row r="13" spans="1:6" x14ac:dyDescent="0.35">
      <c r="A13" s="5" t="s">
        <v>66</v>
      </c>
      <c r="B13" s="10">
        <v>178000</v>
      </c>
      <c r="E13" s="5" t="s">
        <v>66</v>
      </c>
      <c r="F13" s="6">
        <v>178000</v>
      </c>
    </row>
    <row r="14" spans="1:6" x14ac:dyDescent="0.35">
      <c r="A14" s="5" t="s">
        <v>55</v>
      </c>
      <c r="B14" s="10">
        <v>317500</v>
      </c>
      <c r="E14" s="5" t="s">
        <v>55</v>
      </c>
      <c r="F14" s="6">
        <v>317500</v>
      </c>
    </row>
    <row r="15" spans="1:6" x14ac:dyDescent="0.35">
      <c r="A15" s="5" t="s">
        <v>64</v>
      </c>
      <c r="B15" s="10">
        <v>347000</v>
      </c>
      <c r="E15" s="5" t="s">
        <v>64</v>
      </c>
      <c r="F15" s="6">
        <v>347000</v>
      </c>
    </row>
    <row r="16" spans="1:6" x14ac:dyDescent="0.35">
      <c r="A16" s="5" t="s">
        <v>32</v>
      </c>
      <c r="B16" s="10">
        <v>536000</v>
      </c>
      <c r="E16" s="5" t="s">
        <v>32</v>
      </c>
      <c r="F16" s="6">
        <v>536000</v>
      </c>
    </row>
    <row r="17" spans="1:6" x14ac:dyDescent="0.35">
      <c r="A17" s="5" t="s">
        <v>80</v>
      </c>
      <c r="B17" s="10">
        <v>203000</v>
      </c>
      <c r="E17" s="5" t="s">
        <v>80</v>
      </c>
      <c r="F17" s="6">
        <v>203000</v>
      </c>
    </row>
    <row r="18" spans="1:6" x14ac:dyDescent="0.35">
      <c r="A18" s="5" t="s">
        <v>51</v>
      </c>
      <c r="B18" s="10">
        <v>366000</v>
      </c>
      <c r="E18" s="5" t="s">
        <v>51</v>
      </c>
      <c r="F18" s="6">
        <v>366000</v>
      </c>
    </row>
    <row r="19" spans="1:6" x14ac:dyDescent="0.35">
      <c r="A19" s="5" t="s">
        <v>83</v>
      </c>
      <c r="B19" s="10">
        <v>115000</v>
      </c>
      <c r="E19" s="5" t="s">
        <v>83</v>
      </c>
      <c r="F19" s="6">
        <v>115000</v>
      </c>
    </row>
    <row r="20" spans="1:6" x14ac:dyDescent="0.35">
      <c r="A20" s="5" t="s">
        <v>34</v>
      </c>
      <c r="B20" s="10">
        <v>79000</v>
      </c>
      <c r="E20" s="5" t="s">
        <v>34</v>
      </c>
      <c r="F20" s="6">
        <v>79000</v>
      </c>
    </row>
    <row r="21" spans="1:6" x14ac:dyDescent="0.35">
      <c r="A21" s="5" t="s">
        <v>17</v>
      </c>
      <c r="B21" s="10">
        <v>230000</v>
      </c>
      <c r="E21" s="5" t="s">
        <v>17</v>
      </c>
      <c r="F21" s="6">
        <v>230000</v>
      </c>
    </row>
    <row r="22" spans="1:6" x14ac:dyDescent="0.35">
      <c r="A22" s="5" t="s">
        <v>45</v>
      </c>
      <c r="B22" s="10">
        <v>74500</v>
      </c>
      <c r="E22" s="5" t="s">
        <v>45</v>
      </c>
      <c r="F22" s="6">
        <v>74500</v>
      </c>
    </row>
    <row r="23" spans="1:6" x14ac:dyDescent="0.35">
      <c r="A23" s="5" t="s">
        <v>85</v>
      </c>
      <c r="B23" s="10">
        <v>90000</v>
      </c>
      <c r="E23" s="5" t="s">
        <v>85</v>
      </c>
      <c r="F23" s="6">
        <v>90000</v>
      </c>
    </row>
    <row r="24" spans="1:6" x14ac:dyDescent="0.35">
      <c r="A24" s="5" t="s">
        <v>72</v>
      </c>
      <c r="B24" s="10">
        <v>482000</v>
      </c>
      <c r="E24" s="5" t="s">
        <v>72</v>
      </c>
      <c r="F24" s="6">
        <v>482000</v>
      </c>
    </row>
    <row r="25" spans="1:6" x14ac:dyDescent="0.35">
      <c r="A25" s="5" t="s">
        <v>22</v>
      </c>
      <c r="B25" s="10">
        <v>274500</v>
      </c>
      <c r="E25" s="5" t="s">
        <v>22</v>
      </c>
      <c r="F25" s="6">
        <v>274500</v>
      </c>
    </row>
    <row r="26" spans="1:6" x14ac:dyDescent="0.35">
      <c r="A26" s="5" t="s">
        <v>91</v>
      </c>
      <c r="B26" s="10">
        <v>44000</v>
      </c>
      <c r="E26" s="5" t="s">
        <v>91</v>
      </c>
      <c r="F26" s="6">
        <v>44000</v>
      </c>
    </row>
    <row r="27" spans="1:6" x14ac:dyDescent="0.35">
      <c r="A27" s="5" t="s">
        <v>26</v>
      </c>
      <c r="B27" s="10">
        <v>359500</v>
      </c>
      <c r="E27" s="5" t="s">
        <v>26</v>
      </c>
      <c r="F27" s="6">
        <v>359500</v>
      </c>
    </row>
    <row r="28" spans="1:6" x14ac:dyDescent="0.35">
      <c r="A28" s="5" t="s">
        <v>57</v>
      </c>
      <c r="B28" s="10">
        <v>271500</v>
      </c>
      <c r="E28" s="5" t="s">
        <v>57</v>
      </c>
      <c r="F28" s="6">
        <v>271500</v>
      </c>
    </row>
    <row r="29" spans="1:6" x14ac:dyDescent="0.35">
      <c r="A29" s="5" t="s">
        <v>49</v>
      </c>
      <c r="B29" s="10">
        <v>344000</v>
      </c>
      <c r="E29" s="5" t="s">
        <v>49</v>
      </c>
      <c r="F29" s="6">
        <v>344000</v>
      </c>
    </row>
    <row r="30" spans="1:6" x14ac:dyDescent="0.35">
      <c r="A30" s="5" t="s">
        <v>39</v>
      </c>
      <c r="B30" s="10">
        <v>378000</v>
      </c>
      <c r="E30" s="5" t="s">
        <v>39</v>
      </c>
      <c r="F30" s="6">
        <v>378000</v>
      </c>
    </row>
    <row r="31" spans="1:6" x14ac:dyDescent="0.35">
      <c r="A31" s="5" t="s">
        <v>78</v>
      </c>
      <c r="B31" s="10">
        <v>122000</v>
      </c>
      <c r="E31" s="5" t="s">
        <v>78</v>
      </c>
      <c r="F31" s="6">
        <v>122000</v>
      </c>
    </row>
    <row r="32" spans="1:6" x14ac:dyDescent="0.35">
      <c r="A32" s="5" t="s">
        <v>36</v>
      </c>
      <c r="B32" s="10">
        <v>293000</v>
      </c>
      <c r="E32" s="5" t="s">
        <v>36</v>
      </c>
      <c r="F32" s="6">
        <v>293000</v>
      </c>
    </row>
    <row r="33" spans="1:6" x14ac:dyDescent="0.35">
      <c r="A33" s="5" t="s">
        <v>54</v>
      </c>
      <c r="B33" s="10">
        <v>151000</v>
      </c>
      <c r="E33" s="5" t="s">
        <v>54</v>
      </c>
      <c r="F33" s="6">
        <v>151000</v>
      </c>
    </row>
    <row r="34" spans="1:6" x14ac:dyDescent="0.35">
      <c r="A34" s="5" t="s">
        <v>89</v>
      </c>
      <c r="B34" s="10">
        <v>45000</v>
      </c>
      <c r="E34" s="5" t="s">
        <v>89</v>
      </c>
      <c r="F34" s="6">
        <v>45000</v>
      </c>
    </row>
    <row r="35" spans="1:6" x14ac:dyDescent="0.35">
      <c r="A35" s="5" t="s">
        <v>81</v>
      </c>
      <c r="B35" s="10">
        <v>219000</v>
      </c>
      <c r="E35" s="5" t="s">
        <v>81</v>
      </c>
      <c r="F35" s="6">
        <v>219000</v>
      </c>
    </row>
    <row r="36" spans="1:6" x14ac:dyDescent="0.35">
      <c r="A36" s="5" t="s">
        <v>68</v>
      </c>
      <c r="B36" s="10">
        <v>154000</v>
      </c>
      <c r="E36" s="5" t="s">
        <v>68</v>
      </c>
      <c r="F36" s="6">
        <v>154000</v>
      </c>
    </row>
  </sheetData>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52822-60C0-49A5-8B2C-249005608097}">
  <sheetPr codeName="Sheet3"/>
  <dimension ref="A1:B13"/>
  <sheetViews>
    <sheetView workbookViewId="0"/>
  </sheetViews>
  <sheetFormatPr defaultRowHeight="14.5" x14ac:dyDescent="0.35"/>
  <cols>
    <col min="1" max="1" width="12.36328125" bestFit="1" customWidth="1"/>
    <col min="2" max="2" width="15.6328125" bestFit="1" customWidth="1"/>
  </cols>
  <sheetData>
    <row r="1" spans="1:2" x14ac:dyDescent="0.35">
      <c r="A1" s="2" t="s">
        <v>3</v>
      </c>
      <c r="B1" t="s">
        <v>108</v>
      </c>
    </row>
    <row r="3" spans="1:2" x14ac:dyDescent="0.35">
      <c r="A3" s="2" t="s">
        <v>93</v>
      </c>
      <c r="B3" t="s">
        <v>94</v>
      </c>
    </row>
    <row r="4" spans="1:2" x14ac:dyDescent="0.35">
      <c r="A4" s="5" t="s">
        <v>95</v>
      </c>
      <c r="B4" s="6">
        <v>627000</v>
      </c>
    </row>
    <row r="5" spans="1:2" x14ac:dyDescent="0.35">
      <c r="A5" s="5" t="s">
        <v>96</v>
      </c>
      <c r="B5" s="6">
        <v>590000</v>
      </c>
    </row>
    <row r="6" spans="1:2" x14ac:dyDescent="0.35">
      <c r="A6" s="5" t="s">
        <v>97</v>
      </c>
      <c r="B6" s="6">
        <v>551500</v>
      </c>
    </row>
    <row r="7" spans="1:2" x14ac:dyDescent="0.35">
      <c r="A7" s="5" t="s">
        <v>105</v>
      </c>
      <c r="B7" s="6">
        <v>620500</v>
      </c>
    </row>
    <row r="8" spans="1:2" x14ac:dyDescent="0.35">
      <c r="A8" s="5" t="s">
        <v>98</v>
      </c>
      <c r="B8" s="6">
        <v>664500</v>
      </c>
    </row>
    <row r="9" spans="1:2" x14ac:dyDescent="0.35">
      <c r="A9" s="5" t="s">
        <v>106</v>
      </c>
      <c r="B9" s="6">
        <v>753000</v>
      </c>
    </row>
    <row r="10" spans="1:2" x14ac:dyDescent="0.35">
      <c r="A10" s="5" t="s">
        <v>99</v>
      </c>
      <c r="B10" s="6">
        <v>978500</v>
      </c>
    </row>
    <row r="11" spans="1:2" x14ac:dyDescent="0.35">
      <c r="A11" s="5" t="s">
        <v>100</v>
      </c>
      <c r="B11" s="6">
        <v>1042000</v>
      </c>
    </row>
    <row r="12" spans="1:2" x14ac:dyDescent="0.35">
      <c r="A12" s="5" t="s">
        <v>101</v>
      </c>
      <c r="B12" s="6">
        <v>1132500</v>
      </c>
    </row>
    <row r="13" spans="1:2" x14ac:dyDescent="0.35">
      <c r="A13" s="5" t="s">
        <v>107</v>
      </c>
      <c r="B13" s="6">
        <v>836000</v>
      </c>
    </row>
  </sheetData>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37F2F-32B2-4BA6-922F-41290BE86143}">
  <sheetPr codeName="Sheet4"/>
  <dimension ref="A3:B5"/>
  <sheetViews>
    <sheetView tabSelected="1" zoomScale="103" workbookViewId="0">
      <selection activeCell="H22" sqref="H22"/>
    </sheetView>
  </sheetViews>
  <sheetFormatPr defaultRowHeight="14.5" x14ac:dyDescent="0.35"/>
  <cols>
    <col min="1" max="1" width="12.453125" bestFit="1" customWidth="1"/>
    <col min="2" max="2" width="15.7265625" bestFit="1" customWidth="1"/>
  </cols>
  <sheetData>
    <row r="3" spans="1:2" x14ac:dyDescent="0.35">
      <c r="A3" s="2" t="s">
        <v>93</v>
      </c>
      <c r="B3" t="s">
        <v>94</v>
      </c>
    </row>
    <row r="4" spans="1:2" x14ac:dyDescent="0.35">
      <c r="A4" s="5" t="s">
        <v>30</v>
      </c>
      <c r="B4" s="6">
        <v>4467500</v>
      </c>
    </row>
    <row r="5" spans="1:2" x14ac:dyDescent="0.35">
      <c r="A5" s="5" t="s">
        <v>20</v>
      </c>
      <c r="B5" s="6">
        <v>3328000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FF390-686F-4B35-82F4-7DB374B40D52}">
  <sheetPr codeName="Sheet5"/>
  <dimension ref="A1:B6"/>
  <sheetViews>
    <sheetView workbookViewId="0">
      <selection activeCell="B5" sqref="B5"/>
    </sheetView>
  </sheetViews>
  <sheetFormatPr defaultRowHeight="14.5" x14ac:dyDescent="0.35"/>
  <cols>
    <col min="1" max="1" width="14.26953125" bestFit="1" customWidth="1"/>
    <col min="2" max="2" width="15.6328125" bestFit="1" customWidth="1"/>
  </cols>
  <sheetData>
    <row r="1" spans="1:2" x14ac:dyDescent="0.35">
      <c r="A1" s="2" t="s">
        <v>7</v>
      </c>
      <c r="B1" t="s">
        <v>108</v>
      </c>
    </row>
    <row r="3" spans="1:2" x14ac:dyDescent="0.35">
      <c r="A3" s="2" t="s">
        <v>93</v>
      </c>
      <c r="B3" t="s">
        <v>94</v>
      </c>
    </row>
    <row r="4" spans="1:2" x14ac:dyDescent="0.35">
      <c r="A4" s="5" t="s">
        <v>18</v>
      </c>
      <c r="B4" s="10">
        <v>2638000</v>
      </c>
    </row>
    <row r="5" spans="1:2" x14ac:dyDescent="0.35">
      <c r="A5" s="5" t="s">
        <v>23</v>
      </c>
      <c r="B5" s="10">
        <v>2204000</v>
      </c>
    </row>
    <row r="6" spans="1:2" x14ac:dyDescent="0.35">
      <c r="A6" s="5" t="s">
        <v>28</v>
      </c>
      <c r="B6" s="10">
        <v>2953500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1A003-723C-4DEC-BC73-2F7E419FD020}">
  <sheetPr codeName="Sheet6"/>
  <dimension ref="A1:D6"/>
  <sheetViews>
    <sheetView workbookViewId="0">
      <selection activeCell="C7" sqref="C7"/>
    </sheetView>
  </sheetViews>
  <sheetFormatPr defaultRowHeight="14.5" x14ac:dyDescent="0.35"/>
  <cols>
    <col min="1" max="1" width="15.6328125" bestFit="1" customWidth="1"/>
    <col min="2" max="2" width="11.81640625" bestFit="1" customWidth="1"/>
    <col min="3" max="3" width="18.81640625" bestFit="1" customWidth="1"/>
  </cols>
  <sheetData>
    <row r="1" spans="1:4" x14ac:dyDescent="0.35">
      <c r="A1" s="2" t="s">
        <v>3</v>
      </c>
      <c r="B1" t="s">
        <v>108</v>
      </c>
    </row>
    <row r="3" spans="1:4" x14ac:dyDescent="0.35">
      <c r="A3" t="s">
        <v>94</v>
      </c>
      <c r="B3" t="s">
        <v>102</v>
      </c>
      <c r="C3" t="s">
        <v>103</v>
      </c>
      <c r="D3" t="s">
        <v>14</v>
      </c>
    </row>
    <row r="4" spans="1:4" x14ac:dyDescent="0.35">
      <c r="A4" s="10">
        <v>7795500</v>
      </c>
      <c r="B4" s="10">
        <v>2148300</v>
      </c>
      <c r="C4" s="3">
        <v>0.27558206657687129</v>
      </c>
    </row>
    <row r="6" spans="1:4" x14ac:dyDescent="0.35">
      <c r="A6" s="6">
        <f>GETPIVOTDATA("Sum of TotalSales",$A$3)</f>
        <v>7795500</v>
      </c>
      <c r="B6" s="6">
        <f>GETPIVOTDATA("Sum of Profit",$A$3)</f>
        <v>2148300</v>
      </c>
      <c r="C6" s="3">
        <f>GETPIVOTDATA("Sum of Profit  Margin",$A$3)</f>
        <v>0.27558206657687129</v>
      </c>
      <c r="D6">
        <f>SalesData!O2</f>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A46CB-4A22-4631-A915-972004483571}">
  <sheetPr codeName="Sheet7"/>
  <dimension ref="A1:BM88"/>
  <sheetViews>
    <sheetView showGridLines="0" topLeftCell="F1" zoomScale="30" zoomScaleNormal="30" workbookViewId="0">
      <selection activeCell="B1" sqref="B1:Z8"/>
    </sheetView>
  </sheetViews>
  <sheetFormatPr defaultColWidth="8.7265625" defaultRowHeight="14.5" x14ac:dyDescent="0.35"/>
  <cols>
    <col min="1" max="16384" width="8.7265625" style="4"/>
  </cols>
  <sheetData>
    <row r="1" spans="1:65" x14ac:dyDescent="0.35">
      <c r="A1" s="8"/>
      <c r="B1" s="9" t="s">
        <v>104</v>
      </c>
      <c r="C1" s="9"/>
      <c r="D1" s="9"/>
      <c r="E1" s="9"/>
      <c r="F1" s="9"/>
      <c r="G1" s="9"/>
      <c r="H1" s="9"/>
      <c r="I1" s="9"/>
      <c r="J1" s="9"/>
      <c r="K1" s="9"/>
      <c r="L1" s="9"/>
      <c r="M1" s="9"/>
      <c r="N1" s="9"/>
      <c r="O1" s="9"/>
      <c r="P1" s="9"/>
      <c r="Q1" s="9"/>
      <c r="R1" s="9"/>
      <c r="S1" s="9"/>
      <c r="T1" s="9"/>
      <c r="U1" s="9"/>
      <c r="V1" s="9"/>
      <c r="W1" s="9"/>
      <c r="X1" s="9"/>
      <c r="Y1" s="9"/>
      <c r="Z1" s="9"/>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row>
    <row r="2" spans="1:65" x14ac:dyDescent="0.35">
      <c r="A2" s="8"/>
      <c r="B2" s="9"/>
      <c r="C2" s="9"/>
      <c r="D2" s="9"/>
      <c r="E2" s="9"/>
      <c r="F2" s="9"/>
      <c r="G2" s="9"/>
      <c r="H2" s="9"/>
      <c r="I2" s="9"/>
      <c r="J2" s="9"/>
      <c r="K2" s="9"/>
      <c r="L2" s="9"/>
      <c r="M2" s="9"/>
      <c r="N2" s="9"/>
      <c r="O2" s="9"/>
      <c r="P2" s="9"/>
      <c r="Q2" s="9"/>
      <c r="R2" s="9"/>
      <c r="S2" s="9"/>
      <c r="T2" s="9"/>
      <c r="U2" s="9"/>
      <c r="V2" s="9"/>
      <c r="W2" s="9"/>
      <c r="X2" s="9"/>
      <c r="Y2" s="9"/>
      <c r="Z2" s="9"/>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35">
      <c r="A3" s="8"/>
      <c r="B3" s="9"/>
      <c r="C3" s="9"/>
      <c r="D3" s="9"/>
      <c r="E3" s="9"/>
      <c r="F3" s="9"/>
      <c r="G3" s="9"/>
      <c r="H3" s="9"/>
      <c r="I3" s="9"/>
      <c r="J3" s="9"/>
      <c r="K3" s="9"/>
      <c r="L3" s="9"/>
      <c r="M3" s="9"/>
      <c r="N3" s="9"/>
      <c r="O3" s="9"/>
      <c r="P3" s="9"/>
      <c r="Q3" s="9"/>
      <c r="R3" s="9"/>
      <c r="S3" s="9"/>
      <c r="T3" s="9"/>
      <c r="U3" s="9"/>
      <c r="V3" s="9"/>
      <c r="W3" s="9"/>
      <c r="X3" s="9"/>
      <c r="Y3" s="9"/>
      <c r="Z3" s="9"/>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row>
    <row r="4" spans="1:65" x14ac:dyDescent="0.35">
      <c r="A4" s="8"/>
      <c r="B4" s="9"/>
      <c r="C4" s="9"/>
      <c r="D4" s="9"/>
      <c r="E4" s="9"/>
      <c r="F4" s="9"/>
      <c r="G4" s="9"/>
      <c r="H4" s="9"/>
      <c r="I4" s="9"/>
      <c r="J4" s="9"/>
      <c r="K4" s="9"/>
      <c r="L4" s="9"/>
      <c r="M4" s="9"/>
      <c r="N4" s="9"/>
      <c r="O4" s="9"/>
      <c r="P4" s="9"/>
      <c r="Q4" s="9"/>
      <c r="R4" s="9"/>
      <c r="S4" s="9"/>
      <c r="T4" s="9"/>
      <c r="U4" s="9"/>
      <c r="V4" s="9"/>
      <c r="W4" s="9"/>
      <c r="X4" s="9"/>
      <c r="Y4" s="9"/>
      <c r="Z4" s="9"/>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row>
    <row r="5" spans="1:65" x14ac:dyDescent="0.35">
      <c r="A5" s="8"/>
      <c r="B5" s="9"/>
      <c r="C5" s="9"/>
      <c r="D5" s="9"/>
      <c r="E5" s="9"/>
      <c r="F5" s="9"/>
      <c r="G5" s="9"/>
      <c r="H5" s="9"/>
      <c r="I5" s="9"/>
      <c r="J5" s="9"/>
      <c r="K5" s="9"/>
      <c r="L5" s="9"/>
      <c r="M5" s="9"/>
      <c r="N5" s="9"/>
      <c r="O5" s="9"/>
      <c r="P5" s="9"/>
      <c r="Q5" s="9"/>
      <c r="R5" s="9"/>
      <c r="S5" s="9"/>
      <c r="T5" s="9"/>
      <c r="U5" s="9"/>
      <c r="V5" s="9"/>
      <c r="W5" s="9"/>
      <c r="X5" s="9"/>
      <c r="Y5" s="9"/>
      <c r="Z5" s="9"/>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row>
    <row r="6" spans="1:65" x14ac:dyDescent="0.35">
      <c r="A6" s="8"/>
      <c r="B6" s="9"/>
      <c r="C6" s="9"/>
      <c r="D6" s="9"/>
      <c r="E6" s="9"/>
      <c r="F6" s="9"/>
      <c r="G6" s="9"/>
      <c r="H6" s="9"/>
      <c r="I6" s="9"/>
      <c r="J6" s="9"/>
      <c r="K6" s="9"/>
      <c r="L6" s="9"/>
      <c r="M6" s="9"/>
      <c r="N6" s="9"/>
      <c r="O6" s="9"/>
      <c r="P6" s="9"/>
      <c r="Q6" s="9"/>
      <c r="R6" s="9"/>
      <c r="S6" s="9"/>
      <c r="T6" s="9"/>
      <c r="U6" s="9"/>
      <c r="V6" s="9"/>
      <c r="W6" s="9"/>
      <c r="X6" s="9"/>
      <c r="Y6" s="9"/>
      <c r="Z6" s="9"/>
      <c r="AA6" s="8"/>
      <c r="AB6" s="8"/>
      <c r="AC6" s="8"/>
      <c r="AD6" s="8"/>
      <c r="AE6" s="8"/>
      <c r="AF6" s="8"/>
      <c r="AG6" s="8"/>
      <c r="AH6" s="8"/>
      <c r="AI6" s="8"/>
      <c r="AJ6" s="8"/>
      <c r="AK6" s="8"/>
      <c r="AL6" s="8"/>
      <c r="AM6" s="8"/>
      <c r="AN6" s="8"/>
      <c r="AO6" s="8"/>
      <c r="AP6" s="8"/>
      <c r="AQ6" s="8"/>
      <c r="AR6" s="8"/>
      <c r="AS6" s="8"/>
      <c r="AT6" s="8"/>
      <c r="AU6" s="8"/>
      <c r="AV6" s="8"/>
      <c r="AW6" s="8"/>
      <c r="AX6" s="8"/>
      <c r="AY6" s="8"/>
      <c r="AZ6" s="8"/>
      <c r="BA6" s="8"/>
      <c r="BB6" s="8"/>
      <c r="BC6" s="8"/>
      <c r="BD6" s="8"/>
      <c r="BE6" s="8"/>
      <c r="BF6" s="8"/>
      <c r="BG6" s="8"/>
      <c r="BH6" s="8"/>
      <c r="BI6" s="8"/>
      <c r="BJ6" s="8"/>
      <c r="BK6" s="8"/>
      <c r="BL6" s="8"/>
      <c r="BM6" s="8"/>
    </row>
    <row r="7" spans="1:65" x14ac:dyDescent="0.35">
      <c r="A7" s="8"/>
      <c r="B7" s="9"/>
      <c r="C7" s="9"/>
      <c r="D7" s="9"/>
      <c r="E7" s="9"/>
      <c r="F7" s="9"/>
      <c r="G7" s="9"/>
      <c r="H7" s="9"/>
      <c r="I7" s="9"/>
      <c r="J7" s="9"/>
      <c r="K7" s="9"/>
      <c r="L7" s="9"/>
      <c r="M7" s="9"/>
      <c r="N7" s="9"/>
      <c r="O7" s="9"/>
      <c r="P7" s="9"/>
      <c r="Q7" s="9"/>
      <c r="R7" s="9"/>
      <c r="S7" s="9"/>
      <c r="T7" s="9"/>
      <c r="U7" s="9"/>
      <c r="V7" s="9"/>
      <c r="W7" s="9"/>
      <c r="X7" s="9"/>
      <c r="Y7" s="9"/>
      <c r="Z7" s="9"/>
      <c r="AA7" s="8"/>
      <c r="AB7" s="8"/>
      <c r="AC7" s="8"/>
      <c r="AD7" s="8"/>
      <c r="AE7" s="8"/>
      <c r="AF7" s="8"/>
      <c r="AG7" s="8"/>
      <c r="AH7" s="8"/>
      <c r="AI7" s="8"/>
      <c r="AJ7" s="8"/>
      <c r="AK7" s="8"/>
      <c r="AL7" s="8"/>
      <c r="AM7" s="8"/>
      <c r="AN7" s="8"/>
      <c r="AO7" s="8"/>
      <c r="AP7" s="8"/>
      <c r="AQ7" s="8"/>
      <c r="AR7" s="8"/>
      <c r="AS7" s="8"/>
      <c r="AT7" s="8"/>
      <c r="AU7" s="8"/>
      <c r="AV7" s="8"/>
      <c r="AW7" s="8"/>
      <c r="AX7" s="8"/>
      <c r="AY7" s="8"/>
      <c r="AZ7" s="8"/>
      <c r="BA7" s="8"/>
      <c r="BB7" s="8"/>
      <c r="BC7" s="8"/>
      <c r="BD7" s="8"/>
      <c r="BE7" s="8"/>
      <c r="BF7" s="8"/>
      <c r="BG7" s="8"/>
      <c r="BH7" s="8"/>
      <c r="BI7" s="8"/>
      <c r="BJ7" s="8"/>
      <c r="BK7" s="8"/>
      <c r="BL7" s="8"/>
      <c r="BM7" s="8"/>
    </row>
    <row r="8" spans="1:65" x14ac:dyDescent="0.35">
      <c r="A8" s="8"/>
      <c r="B8" s="9"/>
      <c r="C8" s="9"/>
      <c r="D8" s="9"/>
      <c r="E8" s="9"/>
      <c r="F8" s="9"/>
      <c r="G8" s="9"/>
      <c r="H8" s="9"/>
      <c r="I8" s="9"/>
      <c r="J8" s="9"/>
      <c r="K8" s="9"/>
      <c r="L8" s="9"/>
      <c r="M8" s="9"/>
      <c r="N8" s="9"/>
      <c r="O8" s="9"/>
      <c r="P8" s="9"/>
      <c r="Q8" s="9"/>
      <c r="R8" s="9"/>
      <c r="S8" s="9"/>
      <c r="T8" s="9"/>
      <c r="U8" s="9"/>
      <c r="V8" s="9"/>
      <c r="W8" s="9"/>
      <c r="X8" s="9"/>
      <c r="Y8" s="9"/>
      <c r="Z8" s="9"/>
      <c r="AA8" s="8"/>
      <c r="AB8" s="8"/>
      <c r="AC8" s="8"/>
      <c r="AD8" s="8"/>
      <c r="AE8" s="8"/>
      <c r="AF8" s="8"/>
      <c r="AG8" s="8"/>
      <c r="AH8" s="8"/>
      <c r="AI8" s="8"/>
      <c r="AJ8" s="8"/>
      <c r="AK8" s="8"/>
      <c r="AL8" s="8"/>
      <c r="AM8" s="8"/>
      <c r="AN8" s="8"/>
      <c r="AO8" s="8"/>
      <c r="AP8" s="8"/>
      <c r="AQ8" s="8"/>
      <c r="AR8" s="8"/>
      <c r="AS8" s="8"/>
      <c r="AT8" s="8"/>
      <c r="AU8" s="8"/>
      <c r="AV8" s="8"/>
      <c r="AW8" s="8"/>
      <c r="AX8" s="8"/>
      <c r="AY8" s="8"/>
      <c r="AZ8" s="8"/>
      <c r="BA8" s="8"/>
      <c r="BB8" s="8"/>
      <c r="BC8" s="8"/>
      <c r="BD8" s="8"/>
      <c r="BE8" s="8"/>
      <c r="BF8" s="8"/>
      <c r="BG8" s="8"/>
      <c r="BH8" s="8"/>
      <c r="BI8" s="8"/>
      <c r="BJ8" s="8"/>
      <c r="BK8" s="8"/>
      <c r="BL8" s="8"/>
      <c r="BM8" s="8"/>
    </row>
    <row r="9" spans="1:65" x14ac:dyDescent="0.35">
      <c r="A9" s="8"/>
      <c r="B9" s="8"/>
      <c r="C9" s="8"/>
      <c r="D9" s="8"/>
      <c r="E9" s="8"/>
      <c r="F9" s="8"/>
      <c r="G9" s="8"/>
      <c r="H9" s="8"/>
      <c r="I9" s="8"/>
      <c r="J9" s="8"/>
      <c r="K9" s="8"/>
      <c r="L9" s="8"/>
      <c r="M9" s="8"/>
      <c r="N9" s="8"/>
      <c r="O9" s="8"/>
      <c r="P9" s="8"/>
      <c r="Q9" s="8"/>
      <c r="R9" s="8"/>
      <c r="S9" s="8"/>
      <c r="T9" s="8"/>
      <c r="U9" s="8"/>
      <c r="V9" s="8"/>
      <c r="W9" s="8"/>
      <c r="X9" s="8"/>
      <c r="Y9" s="8"/>
      <c r="Z9" s="8"/>
      <c r="AA9" s="8"/>
      <c r="AB9" s="8"/>
      <c r="AC9" s="8"/>
      <c r="AD9" s="8"/>
      <c r="AE9" s="8"/>
      <c r="AF9" s="8"/>
      <c r="AG9" s="8"/>
      <c r="AH9" s="8"/>
      <c r="AI9" s="8"/>
      <c r="AJ9" s="8"/>
      <c r="AK9" s="8"/>
      <c r="AL9" s="8"/>
      <c r="AM9" s="8"/>
      <c r="AN9" s="8"/>
      <c r="AO9" s="8"/>
      <c r="AP9" s="8"/>
      <c r="AQ9" s="8"/>
      <c r="AR9" s="8"/>
      <c r="AS9" s="8"/>
      <c r="AT9" s="8"/>
      <c r="AU9" s="8"/>
      <c r="AV9" s="8"/>
      <c r="AW9" s="8"/>
      <c r="AX9" s="8"/>
      <c r="AY9" s="8"/>
      <c r="AZ9" s="8"/>
      <c r="BA9" s="8"/>
      <c r="BB9" s="8"/>
      <c r="BC9" s="8"/>
      <c r="BD9" s="8"/>
      <c r="BE9" s="8"/>
      <c r="BF9" s="8"/>
      <c r="BG9" s="8"/>
      <c r="BH9" s="8"/>
      <c r="BI9" s="8"/>
      <c r="BJ9" s="8"/>
      <c r="BK9" s="8"/>
      <c r="BL9" s="8"/>
      <c r="BM9" s="8"/>
    </row>
    <row r="10" spans="1:65" x14ac:dyDescent="0.35">
      <c r="A10" s="8"/>
      <c r="B10" s="8"/>
      <c r="C10" s="8"/>
      <c r="D10" s="8"/>
      <c r="E10" s="8"/>
      <c r="F10" s="8"/>
      <c r="G10" s="8"/>
      <c r="H10" s="8"/>
      <c r="I10" s="8"/>
      <c r="J10" s="8"/>
      <c r="K10" s="8"/>
      <c r="L10" s="8"/>
      <c r="M10" s="8"/>
      <c r="N10" s="8"/>
      <c r="O10" s="8"/>
      <c r="P10" s="8"/>
      <c r="Q10" s="8"/>
      <c r="R10" s="8"/>
      <c r="S10" s="8"/>
      <c r="T10" s="8"/>
      <c r="U10" s="8"/>
      <c r="V10" s="8"/>
      <c r="W10" s="8"/>
      <c r="X10" s="8"/>
      <c r="Y10" s="8"/>
      <c r="Z10" s="8"/>
      <c r="AA10" s="8"/>
      <c r="AB10" s="8"/>
      <c r="AC10" s="8"/>
      <c r="AD10" s="8"/>
      <c r="AE10" s="8"/>
      <c r="AF10" s="8"/>
      <c r="AG10" s="8"/>
      <c r="AH10" s="8"/>
      <c r="AI10" s="8"/>
      <c r="AJ10" s="8"/>
      <c r="AK10" s="8"/>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row>
    <row r="11" spans="1:65" x14ac:dyDescent="0.35">
      <c r="A11" s="8"/>
      <c r="B11" s="8"/>
      <c r="C11" s="8"/>
      <c r="D11" s="8"/>
      <c r="E11" s="8"/>
      <c r="F11" s="8"/>
      <c r="G11" s="8"/>
      <c r="H11" s="8"/>
      <c r="I11" s="8"/>
      <c r="J11" s="8"/>
      <c r="K11" s="8"/>
      <c r="L11" s="8"/>
      <c r="M11" s="8"/>
      <c r="N11" s="8"/>
      <c r="O11" s="8"/>
      <c r="P11" s="8"/>
      <c r="Q11" s="8"/>
      <c r="R11" s="8"/>
      <c r="S11" s="8"/>
      <c r="T11" s="8"/>
      <c r="U11" s="8"/>
      <c r="V11" s="8"/>
      <c r="W11" s="8"/>
      <c r="X11" s="8"/>
      <c r="Y11" s="8"/>
      <c r="Z11" s="8"/>
      <c r="AA11" s="8"/>
      <c r="AB11" s="8"/>
      <c r="AC11" s="8"/>
      <c r="AD11" s="8"/>
      <c r="AE11" s="8"/>
      <c r="AF11" s="8"/>
      <c r="AG11" s="8"/>
      <c r="AH11" s="8"/>
      <c r="AI11" s="8"/>
      <c r="AJ11" s="8"/>
      <c r="AK11" s="8"/>
      <c r="AL11" s="8"/>
      <c r="AM11" s="8"/>
      <c r="AN11" s="8"/>
      <c r="AO11" s="8"/>
      <c r="AP11" s="8"/>
      <c r="AQ11" s="8"/>
      <c r="AR11" s="8"/>
      <c r="AS11" s="8"/>
      <c r="AT11" s="8"/>
      <c r="AU11" s="8"/>
      <c r="AV11" s="8"/>
      <c r="AW11" s="8"/>
      <c r="AX11" s="8"/>
      <c r="AY11" s="8"/>
      <c r="AZ11" s="8"/>
      <c r="BA11" s="8"/>
      <c r="BB11" s="8"/>
      <c r="BC11" s="8"/>
      <c r="BD11" s="8"/>
      <c r="BE11" s="8"/>
      <c r="BF11" s="8"/>
      <c r="BG11" s="8"/>
      <c r="BH11" s="8"/>
      <c r="BI11" s="8"/>
      <c r="BJ11" s="8"/>
      <c r="BK11" s="8"/>
      <c r="BL11" s="8"/>
      <c r="BM11" s="8"/>
    </row>
    <row r="12" spans="1:65" x14ac:dyDescent="0.35">
      <c r="A12" s="8"/>
      <c r="B12" s="8"/>
      <c r="C12" s="8"/>
      <c r="D12" s="8"/>
      <c r="E12" s="8"/>
      <c r="F12" s="8"/>
      <c r="G12" s="8"/>
      <c r="H12" s="8"/>
      <c r="I12" s="8"/>
      <c r="J12" s="8"/>
      <c r="K12" s="8"/>
      <c r="L12" s="8"/>
      <c r="M12" s="8"/>
      <c r="N12" s="8"/>
      <c r="O12" s="8"/>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row>
    <row r="13" spans="1:65" x14ac:dyDescent="0.35">
      <c r="A13" s="8"/>
      <c r="B13" s="8"/>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row>
    <row r="14" spans="1:65" x14ac:dyDescent="0.35">
      <c r="A14" s="8"/>
      <c r="B14" s="8"/>
      <c r="C14" s="8"/>
      <c r="D14" s="8"/>
      <c r="E14" s="8"/>
      <c r="F14" s="8"/>
      <c r="G14" s="8"/>
      <c r="H14" s="8"/>
      <c r="I14" s="8"/>
      <c r="J14" s="8"/>
      <c r="K14" s="8"/>
      <c r="L14" s="8"/>
      <c r="M14" s="8"/>
      <c r="N14" s="8"/>
      <c r="O14" s="8"/>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row>
    <row r="15" spans="1:65" x14ac:dyDescent="0.35">
      <c r="A15" s="8"/>
      <c r="B15" s="8"/>
      <c r="C15" s="8"/>
      <c r="D15" s="8"/>
      <c r="E15" s="8"/>
      <c r="F15" s="8"/>
      <c r="G15" s="8"/>
      <c r="H15" s="8"/>
      <c r="I15" s="8"/>
      <c r="J15" s="8"/>
      <c r="K15" s="8"/>
      <c r="L15" s="8"/>
      <c r="M15" s="8"/>
      <c r="N15" s="8"/>
      <c r="O15" s="8"/>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row>
    <row r="16" spans="1:65" x14ac:dyDescent="0.35">
      <c r="A16" s="8"/>
      <c r="B16" s="8"/>
      <c r="C16" s="8"/>
      <c r="D16" s="8"/>
      <c r="E16" s="8"/>
      <c r="F16" s="8"/>
      <c r="G16" s="8"/>
      <c r="H16" s="8"/>
      <c r="I16" s="8"/>
      <c r="J16" s="8"/>
      <c r="K16" s="8"/>
      <c r="L16" s="8"/>
      <c r="M16" s="8"/>
      <c r="N16" s="8"/>
      <c r="O16" s="8"/>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row>
    <row r="17" spans="1:65" x14ac:dyDescent="0.35">
      <c r="A17" s="8"/>
      <c r="B17" s="8"/>
      <c r="C17" s="8"/>
      <c r="D17" s="8"/>
      <c r="E17" s="8"/>
      <c r="F17" s="8"/>
      <c r="G17" s="8"/>
      <c r="H17" s="8"/>
      <c r="I17" s="8"/>
      <c r="J17" s="8"/>
      <c r="K17" s="8"/>
      <c r="L17" s="8"/>
      <c r="M17" s="8"/>
      <c r="N17" s="8"/>
      <c r="O17" s="8"/>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row>
    <row r="18" spans="1:65" x14ac:dyDescent="0.35">
      <c r="A18" s="8"/>
      <c r="B18" s="8"/>
      <c r="C18" s="8"/>
      <c r="D18" s="8"/>
      <c r="E18" s="8"/>
      <c r="F18" s="8"/>
      <c r="G18" s="8"/>
      <c r="H18" s="8"/>
      <c r="I18" s="8"/>
      <c r="J18" s="8"/>
      <c r="K18" s="8"/>
      <c r="L18" s="8"/>
      <c r="M18" s="8"/>
      <c r="N18" s="8"/>
      <c r="O18" s="8"/>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row>
    <row r="19" spans="1:65" x14ac:dyDescent="0.35">
      <c r="A19" s="8"/>
      <c r="B19" s="8"/>
      <c r="C19" s="8"/>
      <c r="D19" s="8"/>
      <c r="E19" s="8"/>
      <c r="F19" s="8"/>
      <c r="G19" s="8"/>
      <c r="H19" s="8"/>
      <c r="I19" s="8"/>
      <c r="J19" s="8"/>
      <c r="K19" s="8"/>
      <c r="L19" s="8"/>
      <c r="M19" s="8"/>
      <c r="N19" s="8"/>
      <c r="O19" s="8"/>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row>
    <row r="20" spans="1:65" x14ac:dyDescent="0.35">
      <c r="A20" s="8"/>
      <c r="B20" s="8"/>
      <c r="C20" s="8"/>
      <c r="D20" s="8"/>
      <c r="E20" s="8"/>
      <c r="F20" s="8"/>
      <c r="G20" s="8"/>
      <c r="H20" s="8"/>
      <c r="I20" s="8"/>
      <c r="J20" s="8"/>
      <c r="K20" s="8"/>
      <c r="L20" s="8"/>
      <c r="M20" s="8"/>
      <c r="N20" s="8"/>
      <c r="O20" s="8"/>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row>
    <row r="21" spans="1:65" x14ac:dyDescent="0.35">
      <c r="A21" s="8"/>
      <c r="B21" s="8"/>
      <c r="C21" s="8"/>
      <c r="D21" s="8"/>
      <c r="E21" s="8"/>
      <c r="F21" s="8"/>
      <c r="G21" s="8"/>
      <c r="H21" s="8"/>
      <c r="I21" s="8"/>
      <c r="J21" s="8"/>
      <c r="K21" s="8"/>
      <c r="L21" s="8"/>
      <c r="M21" s="8"/>
      <c r="N21" s="8"/>
      <c r="O21" s="8"/>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row>
    <row r="22" spans="1:65" x14ac:dyDescent="0.35">
      <c r="A22" s="8"/>
      <c r="B22" s="8"/>
      <c r="C22" s="8"/>
      <c r="D22" s="8"/>
      <c r="E22" s="8"/>
      <c r="F22" s="8"/>
      <c r="G22" s="8"/>
      <c r="H22" s="8"/>
      <c r="I22" s="8"/>
      <c r="J22" s="8"/>
      <c r="K22" s="8"/>
      <c r="L22" s="8"/>
      <c r="M22" s="8"/>
      <c r="N22" s="8"/>
      <c r="O22" s="8"/>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row>
    <row r="23" spans="1:65" x14ac:dyDescent="0.35">
      <c r="A23" s="8"/>
      <c r="B23" s="8"/>
      <c r="C23" s="8"/>
      <c r="D23" s="8"/>
      <c r="E23" s="8"/>
      <c r="F23" s="8"/>
      <c r="G23" s="8"/>
      <c r="H23" s="8"/>
      <c r="I23" s="8"/>
      <c r="J23" s="8"/>
      <c r="K23" s="8"/>
      <c r="L23" s="8"/>
      <c r="M23" s="8"/>
      <c r="N23" s="8"/>
      <c r="O23" s="8"/>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row>
    <row r="24" spans="1:65" x14ac:dyDescent="0.35">
      <c r="A24" s="8"/>
      <c r="B24" s="8"/>
      <c r="C24" s="8"/>
      <c r="D24" s="8"/>
      <c r="E24" s="8"/>
      <c r="F24" s="8"/>
      <c r="G24" s="8"/>
      <c r="H24" s="8"/>
      <c r="I24" s="8"/>
      <c r="J24" s="8"/>
      <c r="K24" s="8"/>
      <c r="L24" s="8"/>
      <c r="M24" s="8"/>
      <c r="N24" s="8"/>
      <c r="O24" s="8"/>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row>
    <row r="25" spans="1:65" x14ac:dyDescent="0.35">
      <c r="A25" s="8"/>
      <c r="B25" s="8"/>
      <c r="C25" s="8"/>
      <c r="D25" s="8"/>
      <c r="E25" s="8"/>
      <c r="F25" s="8"/>
      <c r="G25" s="8"/>
      <c r="H25" s="8"/>
      <c r="I25" s="8"/>
      <c r="J25" s="8"/>
      <c r="K25" s="8"/>
      <c r="L25" s="8"/>
      <c r="M25" s="8"/>
      <c r="N25" s="8"/>
      <c r="O25" s="8"/>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row>
    <row r="26" spans="1:65" x14ac:dyDescent="0.35">
      <c r="A26" s="8"/>
      <c r="B26" s="8"/>
      <c r="C26" s="8"/>
      <c r="D26" s="8"/>
      <c r="E26" s="8"/>
      <c r="F26" s="8"/>
      <c r="G26" s="8"/>
      <c r="H26" s="8"/>
      <c r="I26" s="8"/>
      <c r="J26" s="8"/>
      <c r="K26" s="8"/>
      <c r="L26" s="8"/>
      <c r="M26" s="8"/>
      <c r="N26" s="8"/>
      <c r="O26" s="8"/>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row>
    <row r="27" spans="1:65" x14ac:dyDescent="0.35">
      <c r="A27" s="8"/>
      <c r="B27" s="8"/>
      <c r="C27" s="8"/>
      <c r="D27" s="8"/>
      <c r="E27" s="8"/>
      <c r="F27" s="8"/>
      <c r="G27" s="8"/>
      <c r="H27" s="8"/>
      <c r="I27" s="8"/>
      <c r="J27" s="8"/>
      <c r="K27" s="8"/>
      <c r="L27" s="8"/>
      <c r="M27" s="8"/>
      <c r="N27" s="8"/>
      <c r="O27" s="8"/>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row>
    <row r="28" spans="1:65" x14ac:dyDescent="0.35">
      <c r="A28" s="8"/>
      <c r="B28" s="8"/>
      <c r="C28" s="8"/>
      <c r="D28" s="8"/>
      <c r="E28" s="8"/>
      <c r="F28" s="8"/>
      <c r="G28" s="8"/>
      <c r="H28" s="8"/>
      <c r="I28" s="8"/>
      <c r="J28" s="8"/>
      <c r="K28" s="8"/>
      <c r="L28" s="8"/>
      <c r="M28" s="8"/>
      <c r="N28" s="8"/>
      <c r="O28" s="8"/>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row>
    <row r="29" spans="1:65" x14ac:dyDescent="0.35">
      <c r="A29" s="8"/>
      <c r="B29" s="8"/>
      <c r="C29" s="8"/>
      <c r="D29" s="8"/>
      <c r="E29" s="8"/>
      <c r="F29" s="8"/>
      <c r="G29" s="8"/>
      <c r="H29" s="8"/>
      <c r="I29" s="8"/>
      <c r="J29" s="8"/>
      <c r="K29" s="8"/>
      <c r="L29" s="8"/>
      <c r="M29" s="8"/>
      <c r="N29" s="8"/>
      <c r="O29" s="8"/>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row>
    <row r="30" spans="1:65" x14ac:dyDescent="0.35">
      <c r="A30" s="8"/>
      <c r="B30" s="8"/>
      <c r="C30" s="8"/>
      <c r="D30" s="8"/>
      <c r="E30" s="8"/>
      <c r="F30" s="8"/>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row>
    <row r="31" spans="1:65" x14ac:dyDescent="0.35">
      <c r="A31" s="8"/>
      <c r="B31" s="8"/>
      <c r="C31" s="8"/>
      <c r="D31" s="8"/>
      <c r="E31" s="8"/>
      <c r="F31" s="8"/>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row>
    <row r="32" spans="1:65" x14ac:dyDescent="0.35">
      <c r="A32" s="8"/>
      <c r="B32" s="8"/>
      <c r="C32" s="8"/>
      <c r="D32" s="8"/>
      <c r="E32" s="8"/>
      <c r="F32" s="8"/>
      <c r="G32" s="8"/>
      <c r="H32" s="8"/>
      <c r="I32" s="8"/>
      <c r="J32" s="8"/>
      <c r="K32" s="8"/>
      <c r="L32" s="8"/>
      <c r="M32" s="8"/>
      <c r="N32" s="8"/>
      <c r="O32" s="8"/>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row>
    <row r="33" spans="1:65" x14ac:dyDescent="0.35">
      <c r="A33" s="8"/>
      <c r="B33" s="8"/>
      <c r="C33" s="8"/>
      <c r="D33" s="8"/>
      <c r="E33" s="8"/>
      <c r="F33" s="8"/>
      <c r="G33" s="8"/>
      <c r="H33" s="8"/>
      <c r="I33" s="8"/>
      <c r="J33" s="8"/>
      <c r="K33" s="8"/>
      <c r="L33" s="8"/>
      <c r="M33" s="8"/>
      <c r="N33" s="8"/>
      <c r="O33" s="8"/>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row>
    <row r="34" spans="1:65" x14ac:dyDescent="0.35">
      <c r="A34" s="8"/>
      <c r="B34" s="8"/>
      <c r="C34" s="8"/>
      <c r="D34" s="8"/>
      <c r="E34" s="8"/>
      <c r="F34" s="8"/>
      <c r="G34" s="8"/>
      <c r="H34" s="8"/>
      <c r="I34" s="8"/>
      <c r="J34" s="8"/>
      <c r="K34" s="8"/>
      <c r="L34" s="8"/>
      <c r="M34" s="8"/>
      <c r="N34" s="8"/>
      <c r="O34" s="8"/>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row>
    <row r="35" spans="1:65" x14ac:dyDescent="0.35">
      <c r="A35" s="8"/>
      <c r="B35" s="8"/>
      <c r="C35" s="8"/>
      <c r="D35" s="8"/>
      <c r="E35" s="8"/>
      <c r="F35" s="8"/>
      <c r="G35" s="8"/>
      <c r="H35" s="8"/>
      <c r="I35" s="8"/>
      <c r="J35" s="8"/>
      <c r="K35" s="8"/>
      <c r="L35" s="8"/>
      <c r="M35" s="8"/>
      <c r="N35" s="8"/>
      <c r="O35" s="8"/>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row>
    <row r="36" spans="1:65" x14ac:dyDescent="0.35">
      <c r="A36" s="8"/>
      <c r="B36" s="8"/>
      <c r="C36" s="8"/>
      <c r="D36" s="8"/>
      <c r="E36" s="8"/>
      <c r="F36" s="8"/>
      <c r="G36" s="8"/>
      <c r="H36" s="8"/>
      <c r="I36" s="8"/>
      <c r="J36" s="8"/>
      <c r="K36" s="8"/>
      <c r="L36" s="8"/>
      <c r="M36" s="8"/>
      <c r="N36" s="8"/>
      <c r="O36" s="8"/>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row>
    <row r="37" spans="1:65" x14ac:dyDescent="0.35">
      <c r="A37" s="8"/>
      <c r="B37" s="8"/>
      <c r="C37" s="8"/>
      <c r="D37" s="8"/>
      <c r="E37" s="8"/>
      <c r="F37" s="8"/>
      <c r="G37" s="8"/>
      <c r="H37" s="8"/>
      <c r="I37" s="8"/>
      <c r="J37" s="8"/>
      <c r="K37" s="8"/>
      <c r="L37" s="8"/>
      <c r="M37" s="8"/>
      <c r="N37" s="8"/>
      <c r="O37" s="8"/>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row>
    <row r="38" spans="1:65" x14ac:dyDescent="0.35">
      <c r="A38" s="8"/>
      <c r="B38" s="8"/>
      <c r="C38" s="8"/>
      <c r="D38" s="8"/>
      <c r="E38" s="8"/>
      <c r="F38" s="8"/>
      <c r="G38" s="8"/>
      <c r="H38" s="8"/>
      <c r="I38" s="8"/>
      <c r="J38" s="8"/>
      <c r="K38" s="8"/>
      <c r="L38" s="8"/>
      <c r="M38" s="8"/>
      <c r="N38" s="8"/>
      <c r="O38" s="8"/>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row>
    <row r="39" spans="1:65" x14ac:dyDescent="0.35">
      <c r="A39" s="8"/>
      <c r="B39" s="8"/>
      <c r="C39" s="8"/>
      <c r="D39" s="8"/>
      <c r="E39" s="8"/>
      <c r="F39" s="8"/>
      <c r="G39" s="8"/>
      <c r="H39" s="8"/>
      <c r="I39" s="8"/>
      <c r="J39" s="8"/>
      <c r="K39" s="8"/>
      <c r="L39" s="8"/>
      <c r="M39" s="8"/>
      <c r="N39" s="8"/>
      <c r="O39" s="8"/>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row>
    <row r="40" spans="1:65" x14ac:dyDescent="0.35">
      <c r="A40" s="8"/>
      <c r="B40" s="8"/>
      <c r="C40" s="8"/>
      <c r="D40" s="8"/>
      <c r="E40" s="8"/>
      <c r="F40" s="8"/>
      <c r="G40" s="8"/>
      <c r="H40" s="8"/>
      <c r="I40" s="8"/>
      <c r="J40" s="8"/>
      <c r="K40" s="8"/>
      <c r="L40" s="8"/>
      <c r="M40" s="8"/>
      <c r="N40" s="8"/>
      <c r="O40" s="8"/>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row>
    <row r="41" spans="1:65" x14ac:dyDescent="0.35">
      <c r="A41" s="8"/>
      <c r="B41" s="8"/>
      <c r="C41" s="8"/>
      <c r="D41" s="8"/>
      <c r="E41" s="8"/>
      <c r="F41" s="8"/>
      <c r="G41" s="8"/>
      <c r="H41" s="8"/>
      <c r="I41" s="8"/>
      <c r="J41" s="8"/>
      <c r="K41" s="8"/>
      <c r="L41" s="8"/>
      <c r="M41" s="8"/>
      <c r="N41" s="8"/>
      <c r="O41" s="8"/>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row>
    <row r="42" spans="1:65" x14ac:dyDescent="0.35">
      <c r="A42" s="8"/>
      <c r="B42" s="8"/>
      <c r="C42" s="8"/>
      <c r="D42" s="8"/>
      <c r="E42" s="8"/>
      <c r="F42" s="8"/>
      <c r="G42" s="8"/>
      <c r="H42" s="8"/>
      <c r="I42" s="8"/>
      <c r="J42" s="8"/>
      <c r="K42" s="8"/>
      <c r="L42" s="8"/>
      <c r="M42" s="8"/>
      <c r="N42" s="8"/>
      <c r="O42" s="8"/>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row>
    <row r="43" spans="1:65" x14ac:dyDescent="0.35">
      <c r="A43" s="8"/>
      <c r="B43" s="8"/>
      <c r="C43" s="8"/>
      <c r="D43" s="8"/>
      <c r="E43" s="8"/>
      <c r="F43" s="8"/>
      <c r="G43" s="8"/>
      <c r="H43" s="8"/>
      <c r="I43" s="8"/>
      <c r="J43" s="8"/>
      <c r="K43" s="8"/>
      <c r="L43" s="8"/>
      <c r="M43" s="8"/>
      <c r="N43" s="8"/>
      <c r="O43" s="8"/>
      <c r="P43" s="8"/>
      <c r="Q43" s="8"/>
      <c r="R43" s="8"/>
      <c r="S43" s="8"/>
      <c r="T43" s="8"/>
      <c r="U43" s="8"/>
      <c r="V43" s="8"/>
      <c r="W43" s="8"/>
      <c r="X43" s="8"/>
      <c r="Y43" s="8"/>
      <c r="Z43" s="8"/>
      <c r="AA43" s="8"/>
      <c r="AB43" s="8"/>
      <c r="AC43" s="8"/>
      <c r="AD43" s="8"/>
      <c r="AE43" s="8"/>
      <c r="AF43" s="8"/>
      <c r="AG43" s="8"/>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row>
    <row r="44" spans="1:65" x14ac:dyDescent="0.35">
      <c r="A44" s="8"/>
      <c r="B44" s="8"/>
      <c r="C44" s="8"/>
      <c r="D44" s="8"/>
      <c r="E44" s="8"/>
      <c r="F44" s="8"/>
      <c r="G44" s="8"/>
      <c r="H44" s="8"/>
      <c r="I44" s="8"/>
      <c r="J44" s="8"/>
      <c r="K44" s="8"/>
      <c r="L44" s="8"/>
      <c r="M44" s="8"/>
      <c r="N44" s="8"/>
      <c r="O44" s="8"/>
      <c r="P44" s="8"/>
      <c r="Q44" s="8"/>
      <c r="R44" s="8"/>
      <c r="S44" s="8"/>
      <c r="T44" s="8"/>
      <c r="U44" s="8"/>
      <c r="V44" s="8"/>
      <c r="W44" s="8"/>
      <c r="X44" s="8"/>
      <c r="Y44" s="8"/>
      <c r="Z44" s="8"/>
      <c r="AA44" s="8"/>
      <c r="AB44" s="8"/>
      <c r="AC44" s="8"/>
      <c r="AD44" s="8"/>
      <c r="AE44" s="8"/>
      <c r="AF44" s="8"/>
      <c r="AG44" s="8"/>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row>
    <row r="45" spans="1:65" x14ac:dyDescent="0.35">
      <c r="A45" s="8"/>
      <c r="B45" s="8"/>
      <c r="C45" s="8"/>
      <c r="D45" s="8"/>
      <c r="E45" s="8"/>
      <c r="F45" s="8"/>
      <c r="G45" s="8"/>
      <c r="H45" s="8"/>
      <c r="I45" s="8"/>
      <c r="J45" s="8"/>
      <c r="K45" s="8"/>
      <c r="L45" s="8"/>
      <c r="M45" s="8"/>
      <c r="N45" s="8"/>
      <c r="O45" s="8"/>
      <c r="P45" s="8"/>
      <c r="Q45" s="8"/>
      <c r="R45" s="8"/>
      <c r="S45" s="8"/>
      <c r="T45" s="8"/>
      <c r="U45" s="8"/>
      <c r="V45" s="8"/>
      <c r="W45" s="8"/>
      <c r="X45" s="8"/>
      <c r="Y45" s="8"/>
      <c r="Z45" s="8"/>
      <c r="AA45" s="8"/>
      <c r="AB45" s="8"/>
      <c r="AC45" s="8"/>
      <c r="AD45" s="8"/>
      <c r="AE45" s="8"/>
      <c r="AF45" s="8"/>
      <c r="AG45" s="8"/>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row>
    <row r="46" spans="1:65" x14ac:dyDescent="0.35">
      <c r="A46" s="8"/>
      <c r="B46" s="8"/>
      <c r="C46" s="8"/>
      <c r="D46" s="8"/>
      <c r="E46" s="8"/>
      <c r="F46" s="8"/>
      <c r="G46" s="8"/>
      <c r="H46" s="8"/>
      <c r="I46" s="8"/>
      <c r="J46" s="8"/>
      <c r="K46" s="8"/>
      <c r="L46" s="8"/>
      <c r="M46" s="8"/>
      <c r="N46" s="8"/>
      <c r="O46" s="8"/>
      <c r="P46" s="8"/>
      <c r="Q46" s="8"/>
      <c r="R46" s="8"/>
      <c r="S46" s="8"/>
      <c r="T46" s="8"/>
      <c r="U46" s="8"/>
      <c r="V46" s="8"/>
      <c r="W46" s="8"/>
      <c r="X46" s="8"/>
      <c r="Y46" s="8"/>
      <c r="Z46" s="8"/>
      <c r="AA46" s="8"/>
      <c r="AB46" s="8"/>
      <c r="AC46" s="8"/>
      <c r="AD46" s="8"/>
      <c r="AE46" s="8"/>
      <c r="AF46" s="8"/>
      <c r="AG46" s="8"/>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row>
    <row r="47" spans="1:65" x14ac:dyDescent="0.35">
      <c r="A47" s="8"/>
      <c r="B47" s="8"/>
      <c r="C47" s="8"/>
      <c r="D47" s="8"/>
      <c r="E47" s="8"/>
      <c r="F47" s="8"/>
      <c r="G47" s="8"/>
      <c r="H47" s="8"/>
      <c r="I47" s="8"/>
      <c r="J47" s="8"/>
      <c r="K47" s="8"/>
      <c r="L47" s="8"/>
      <c r="M47" s="8"/>
      <c r="N47" s="8"/>
      <c r="O47" s="8"/>
      <c r="P47" s="8"/>
      <c r="Q47" s="8"/>
      <c r="R47" s="8"/>
      <c r="S47" s="8"/>
      <c r="T47" s="8"/>
      <c r="U47" s="8"/>
      <c r="V47" s="8"/>
      <c r="W47" s="8"/>
      <c r="X47" s="8"/>
      <c r="Y47" s="8"/>
      <c r="Z47" s="8"/>
      <c r="AA47" s="8"/>
      <c r="AB47" s="8"/>
      <c r="AC47" s="8"/>
      <c r="AD47" s="8"/>
      <c r="AE47" s="8"/>
      <c r="AF47" s="8"/>
      <c r="AG47" s="8"/>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row>
    <row r="48" spans="1:65" x14ac:dyDescent="0.35">
      <c r="A48" s="8"/>
      <c r="B48" s="8"/>
      <c r="C48" s="8"/>
      <c r="D48" s="8"/>
      <c r="E48" s="8"/>
      <c r="F48" s="8"/>
      <c r="G48" s="8"/>
      <c r="H48" s="8"/>
      <c r="I48" s="8"/>
      <c r="J48" s="8"/>
      <c r="K48" s="8"/>
      <c r="L48" s="8"/>
      <c r="M48" s="8"/>
      <c r="N48" s="8"/>
      <c r="O48" s="8"/>
      <c r="P48" s="8"/>
      <c r="Q48" s="8"/>
      <c r="R48" s="8"/>
      <c r="S48" s="8"/>
      <c r="T48" s="8"/>
      <c r="U48" s="8"/>
      <c r="V48" s="8"/>
      <c r="W48" s="8"/>
      <c r="X48" s="8"/>
      <c r="Y48" s="8"/>
      <c r="Z48" s="8"/>
      <c r="AA48" s="8"/>
      <c r="AB48" s="8"/>
      <c r="AC48" s="8"/>
      <c r="AD48" s="8"/>
      <c r="AE48" s="8"/>
      <c r="AF48" s="8"/>
      <c r="AG48" s="8"/>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row>
    <row r="49" spans="1:65" x14ac:dyDescent="0.35">
      <c r="A49" s="8"/>
      <c r="B49" s="8"/>
      <c r="C49" s="8"/>
      <c r="D49" s="8"/>
      <c r="E49" s="8"/>
      <c r="F49" s="8"/>
      <c r="G49" s="8"/>
      <c r="H49" s="8"/>
      <c r="I49" s="8"/>
      <c r="J49" s="8"/>
      <c r="K49" s="8"/>
      <c r="L49" s="8"/>
      <c r="M49" s="8"/>
      <c r="N49" s="8"/>
      <c r="O49" s="8"/>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row>
    <row r="50" spans="1:65" x14ac:dyDescent="0.35">
      <c r="A50" s="8"/>
      <c r="B50" s="8"/>
      <c r="C50" s="8"/>
      <c r="D50" s="8"/>
      <c r="E50" s="8"/>
      <c r="F50" s="8"/>
      <c r="G50" s="8"/>
      <c r="H50" s="8"/>
      <c r="I50" s="8"/>
      <c r="J50" s="8"/>
      <c r="K50" s="8"/>
      <c r="L50" s="8"/>
      <c r="M50" s="8"/>
      <c r="N50" s="8"/>
      <c r="O50" s="8"/>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row>
    <row r="51" spans="1:65" x14ac:dyDescent="0.35">
      <c r="A51" s="8"/>
      <c r="B51" s="8"/>
      <c r="C51" s="8"/>
      <c r="D51" s="8"/>
      <c r="E51" s="8"/>
      <c r="F51" s="8"/>
      <c r="G51" s="8"/>
      <c r="H51" s="8"/>
      <c r="I51" s="8"/>
      <c r="J51" s="8"/>
      <c r="K51" s="8"/>
      <c r="L51" s="8"/>
      <c r="M51" s="8"/>
      <c r="N51" s="8"/>
      <c r="O51" s="8"/>
      <c r="P51" s="8"/>
      <c r="Q51" s="8"/>
      <c r="R51" s="8"/>
      <c r="S51" s="8"/>
      <c r="T51" s="8"/>
      <c r="U51" s="8"/>
      <c r="V51" s="8"/>
      <c r="W51" s="8"/>
      <c r="X51" s="8"/>
      <c r="Y51" s="8"/>
      <c r="Z51" s="8"/>
      <c r="AA51" s="8"/>
      <c r="AB51" s="8"/>
      <c r="AC51" s="8"/>
      <c r="AD51" s="8"/>
      <c r="AE51" s="8"/>
      <c r="AF51" s="8"/>
      <c r="AG51" s="8"/>
      <c r="AH51" s="8"/>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row>
    <row r="52" spans="1:65" x14ac:dyDescent="0.35">
      <c r="A52" s="8"/>
      <c r="B52" s="8"/>
      <c r="C52" s="8"/>
      <c r="D52" s="8"/>
      <c r="E52" s="8"/>
      <c r="F52" s="8"/>
      <c r="G52" s="8"/>
      <c r="H52" s="8"/>
      <c r="I52" s="8"/>
      <c r="J52" s="8"/>
      <c r="K52" s="8"/>
      <c r="L52" s="8"/>
      <c r="M52" s="8"/>
      <c r="N52" s="8"/>
      <c r="O52" s="8"/>
      <c r="P52" s="8"/>
      <c r="Q52" s="8"/>
      <c r="R52" s="8"/>
      <c r="S52" s="8"/>
      <c r="T52" s="8"/>
      <c r="U52" s="8"/>
      <c r="V52" s="8"/>
      <c r="W52" s="8"/>
      <c r="X52" s="8"/>
      <c r="Y52" s="8"/>
      <c r="Z52" s="8"/>
      <c r="AA52" s="8"/>
      <c r="AB52" s="8"/>
      <c r="AC52" s="8"/>
      <c r="AD52" s="8"/>
      <c r="AE52" s="8"/>
      <c r="AF52" s="8"/>
      <c r="AG52" s="8"/>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row>
    <row r="53" spans="1:65" x14ac:dyDescent="0.35">
      <c r="A53" s="8"/>
      <c r="B53" s="8"/>
      <c r="C53" s="8"/>
      <c r="D53" s="8"/>
      <c r="E53" s="8"/>
      <c r="F53" s="8"/>
      <c r="G53" s="8"/>
      <c r="H53" s="8"/>
      <c r="I53" s="8"/>
      <c r="J53" s="8"/>
      <c r="K53" s="8"/>
      <c r="L53" s="8"/>
      <c r="M53" s="8"/>
      <c r="N53" s="8"/>
      <c r="O53" s="8"/>
      <c r="P53" s="8"/>
      <c r="Q53" s="8"/>
      <c r="R53" s="8"/>
      <c r="S53" s="8"/>
      <c r="T53" s="8"/>
      <c r="U53" s="8"/>
      <c r="V53" s="8"/>
      <c r="W53" s="8"/>
      <c r="X53" s="8"/>
      <c r="Y53" s="8"/>
      <c r="Z53" s="8"/>
      <c r="AA53" s="8"/>
      <c r="AB53" s="8"/>
      <c r="AC53" s="8"/>
      <c r="AD53" s="8"/>
      <c r="AE53" s="8"/>
      <c r="AF53" s="8"/>
      <c r="AG53" s="8"/>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row>
    <row r="54" spans="1:65" x14ac:dyDescent="0.35">
      <c r="A54" s="8"/>
      <c r="B54" s="8"/>
      <c r="C54" s="8"/>
      <c r="D54" s="8"/>
      <c r="E54" s="8"/>
      <c r="F54" s="8"/>
      <c r="G54" s="8"/>
      <c r="H54" s="8"/>
      <c r="I54" s="8"/>
      <c r="J54" s="8"/>
      <c r="K54" s="8"/>
      <c r="L54" s="8"/>
      <c r="M54" s="8"/>
      <c r="N54" s="8"/>
      <c r="O54" s="8"/>
      <c r="P54" s="8"/>
      <c r="Q54" s="8"/>
      <c r="R54" s="8"/>
      <c r="S54" s="8"/>
      <c r="T54" s="8"/>
      <c r="U54" s="8"/>
      <c r="V54" s="8"/>
      <c r="W54" s="8"/>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row>
    <row r="55" spans="1:65" x14ac:dyDescent="0.35">
      <c r="A55" s="8"/>
      <c r="B55" s="8"/>
      <c r="C55" s="8"/>
      <c r="D55" s="8"/>
      <c r="E55" s="8"/>
      <c r="F55" s="8"/>
      <c r="G55" s="8"/>
      <c r="H55" s="8"/>
      <c r="I55" s="8"/>
      <c r="J55" s="8"/>
      <c r="K55" s="8"/>
      <c r="L55" s="8"/>
      <c r="M55" s="8"/>
      <c r="N55" s="8"/>
      <c r="O55" s="8"/>
      <c r="P55" s="8"/>
      <c r="Q55" s="8"/>
      <c r="R55" s="8"/>
      <c r="S55" s="8"/>
      <c r="T55" s="8"/>
      <c r="U55" s="8"/>
      <c r="V55" s="8"/>
      <c r="W55" s="8"/>
      <c r="X55" s="8"/>
      <c r="Y55" s="8"/>
      <c r="Z55" s="8"/>
      <c r="AA55" s="8"/>
      <c r="AB55" s="8"/>
      <c r="AC55" s="8"/>
      <c r="AD55" s="8"/>
      <c r="AE55" s="8"/>
      <c r="AF55" s="8"/>
      <c r="AG55" s="8"/>
      <c r="AH55" s="8"/>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row>
    <row r="56" spans="1:65" x14ac:dyDescent="0.35">
      <c r="A56" s="8"/>
      <c r="B56" s="8"/>
      <c r="C56" s="8"/>
      <c r="D56" s="8"/>
      <c r="E56" s="8"/>
      <c r="F56" s="8"/>
      <c r="G56" s="8"/>
      <c r="H56" s="8"/>
      <c r="I56" s="8"/>
      <c r="J56" s="8"/>
      <c r="K56" s="8"/>
      <c r="L56" s="8"/>
      <c r="M56" s="8"/>
      <c r="N56" s="8"/>
      <c r="O56" s="8"/>
      <c r="P56" s="8"/>
      <c r="Q56" s="8"/>
      <c r="R56" s="8"/>
      <c r="S56" s="8"/>
      <c r="T56" s="8"/>
      <c r="U56" s="8"/>
      <c r="V56" s="8"/>
      <c r="W56" s="8"/>
      <c r="X56" s="8"/>
      <c r="Y56" s="8"/>
      <c r="Z56" s="8"/>
      <c r="AA56" s="8"/>
      <c r="AB56" s="8"/>
      <c r="AC56" s="8"/>
      <c r="AD56" s="8"/>
      <c r="AE56" s="8"/>
      <c r="AF56" s="8"/>
      <c r="AG56" s="8"/>
      <c r="AH56" s="8"/>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row>
    <row r="57" spans="1:65" x14ac:dyDescent="0.35">
      <c r="A57" s="8"/>
      <c r="B57" s="8"/>
      <c r="C57" s="8"/>
      <c r="D57" s="8"/>
      <c r="E57" s="8"/>
      <c r="F57" s="8"/>
      <c r="G57" s="8"/>
      <c r="H57" s="8"/>
      <c r="I57" s="8"/>
      <c r="J57" s="8"/>
      <c r="K57" s="8"/>
      <c r="L57" s="8"/>
      <c r="M57" s="8"/>
      <c r="N57" s="8"/>
      <c r="O57" s="8"/>
      <c r="P57" s="8"/>
      <c r="Q57" s="8"/>
      <c r="R57" s="8"/>
      <c r="S57" s="8"/>
      <c r="T57" s="8"/>
      <c r="U57" s="8"/>
      <c r="V57" s="8"/>
      <c r="W57" s="8"/>
      <c r="X57" s="8"/>
      <c r="Y57" s="8"/>
      <c r="Z57" s="8"/>
      <c r="AA57" s="8"/>
      <c r="AB57" s="8"/>
      <c r="AC57" s="8"/>
      <c r="AD57" s="8"/>
      <c r="AE57" s="8"/>
      <c r="AF57" s="8"/>
      <c r="AG57" s="8"/>
      <c r="AH57" s="8"/>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row>
    <row r="58" spans="1:65" x14ac:dyDescent="0.35">
      <c r="A58" s="8"/>
      <c r="B58" s="8"/>
      <c r="C58" s="8"/>
      <c r="D58" s="8"/>
      <c r="E58" s="8"/>
      <c r="F58" s="8"/>
      <c r="G58" s="8"/>
      <c r="H58" s="8"/>
      <c r="I58" s="8"/>
      <c r="J58" s="8"/>
      <c r="K58" s="8"/>
      <c r="L58" s="8"/>
      <c r="M58" s="8"/>
      <c r="N58" s="8"/>
      <c r="O58" s="8"/>
      <c r="P58" s="8"/>
      <c r="Q58" s="8"/>
      <c r="R58" s="8"/>
      <c r="S58" s="8"/>
      <c r="T58" s="8"/>
      <c r="U58" s="8"/>
      <c r="V58" s="8"/>
      <c r="W58" s="8"/>
      <c r="X58" s="8"/>
      <c r="Y58" s="8"/>
      <c r="Z58" s="8"/>
      <c r="AA58" s="8"/>
      <c r="AB58" s="8"/>
      <c r="AC58" s="8"/>
      <c r="AD58" s="8"/>
      <c r="AE58" s="8"/>
      <c r="AF58" s="8"/>
      <c r="AG58" s="8"/>
      <c r="AH58" s="8"/>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row>
    <row r="59" spans="1:65" x14ac:dyDescent="0.35">
      <c r="A59" s="8"/>
      <c r="B59" s="8"/>
      <c r="C59" s="8"/>
      <c r="D59" s="8"/>
      <c r="E59" s="8"/>
      <c r="F59" s="8"/>
      <c r="G59" s="8"/>
      <c r="H59" s="8"/>
      <c r="I59" s="8"/>
      <c r="J59" s="8"/>
      <c r="K59" s="8"/>
      <c r="L59" s="8"/>
      <c r="M59" s="8"/>
      <c r="N59" s="8"/>
      <c r="O59" s="8"/>
      <c r="P59" s="8"/>
      <c r="Q59" s="8"/>
      <c r="R59" s="8"/>
      <c r="S59" s="8"/>
      <c r="T59" s="8"/>
      <c r="U59" s="8"/>
      <c r="V59" s="8"/>
      <c r="W59" s="8"/>
      <c r="X59" s="8"/>
      <c r="Y59" s="8"/>
      <c r="Z59" s="8"/>
      <c r="AA59" s="8"/>
      <c r="AB59" s="8"/>
      <c r="AC59" s="8"/>
      <c r="AD59" s="8"/>
      <c r="AE59" s="8"/>
      <c r="AF59" s="8"/>
      <c r="AG59" s="8"/>
      <c r="AH59" s="8"/>
      <c r="AI59" s="8"/>
      <c r="AJ59" s="8"/>
      <c r="AK59" s="8"/>
      <c r="AL59" s="8"/>
      <c r="AM59" s="8"/>
      <c r="AN59" s="8"/>
      <c r="AO59" s="8"/>
      <c r="AP59" s="8"/>
      <c r="AQ59" s="8"/>
      <c r="AR59" s="8"/>
      <c r="AS59" s="8"/>
      <c r="AT59" s="8"/>
      <c r="AU59" s="8"/>
      <c r="AV59" s="8"/>
      <c r="AW59" s="8"/>
      <c r="AX59" s="8"/>
      <c r="AY59" s="8"/>
      <c r="AZ59" s="8"/>
      <c r="BA59" s="8"/>
      <c r="BB59" s="8"/>
      <c r="BC59" s="8"/>
      <c r="BD59" s="8"/>
      <c r="BE59" s="8"/>
      <c r="BF59" s="8"/>
      <c r="BG59" s="8"/>
      <c r="BH59" s="8"/>
      <c r="BI59" s="8"/>
      <c r="BJ59" s="8"/>
      <c r="BK59" s="8"/>
      <c r="BL59" s="8"/>
      <c r="BM59" s="8"/>
    </row>
    <row r="60" spans="1:65" x14ac:dyDescent="0.35">
      <c r="A60" s="8"/>
      <c r="B60" s="8"/>
      <c r="C60" s="8"/>
      <c r="D60" s="8"/>
      <c r="E60" s="8"/>
      <c r="F60" s="8"/>
      <c r="G60" s="8"/>
      <c r="H60" s="8"/>
      <c r="I60" s="8"/>
      <c r="J60" s="8"/>
      <c r="K60" s="8"/>
      <c r="L60" s="8"/>
      <c r="M60" s="8"/>
      <c r="N60" s="8"/>
      <c r="O60" s="8"/>
      <c r="P60" s="8"/>
      <c r="Q60" s="8"/>
      <c r="R60" s="8"/>
      <c r="S60" s="8"/>
      <c r="T60" s="8"/>
      <c r="U60" s="8"/>
      <c r="V60" s="8"/>
      <c r="W60" s="8"/>
      <c r="X60" s="8"/>
      <c r="Y60" s="8"/>
      <c r="Z60" s="8"/>
      <c r="AA60" s="8"/>
      <c r="AB60" s="8"/>
      <c r="AC60" s="8"/>
      <c r="AD60" s="8"/>
      <c r="AE60" s="8"/>
      <c r="AF60" s="8"/>
      <c r="AG60" s="8"/>
      <c r="AH60" s="8"/>
      <c r="AI60" s="8"/>
      <c r="AJ60" s="8"/>
      <c r="AK60" s="8"/>
      <c r="AL60" s="8"/>
      <c r="AM60" s="8"/>
      <c r="AN60" s="8"/>
      <c r="AO60" s="8"/>
      <c r="AP60" s="8"/>
      <c r="AQ60" s="8"/>
      <c r="AR60" s="8"/>
      <c r="AS60" s="8"/>
      <c r="AT60" s="8"/>
      <c r="AU60" s="8"/>
      <c r="AV60" s="8"/>
      <c r="AW60" s="8"/>
      <c r="AX60" s="8"/>
      <c r="AY60" s="8"/>
      <c r="AZ60" s="8"/>
      <c r="BA60" s="8"/>
      <c r="BB60" s="8"/>
      <c r="BC60" s="8"/>
      <c r="BD60" s="8"/>
      <c r="BE60" s="8"/>
      <c r="BF60" s="8"/>
      <c r="BG60" s="8"/>
      <c r="BH60" s="8"/>
      <c r="BI60" s="8"/>
      <c r="BJ60" s="8"/>
      <c r="BK60" s="8"/>
      <c r="BL60" s="8"/>
      <c r="BM60" s="8"/>
    </row>
    <row r="61" spans="1:65" x14ac:dyDescent="0.35">
      <c r="A61" s="8"/>
      <c r="B61" s="8"/>
      <c r="C61" s="8"/>
      <c r="D61" s="8"/>
      <c r="E61" s="8"/>
      <c r="F61" s="8"/>
      <c r="G61" s="8"/>
      <c r="H61" s="8"/>
      <c r="I61" s="8"/>
      <c r="J61" s="8"/>
      <c r="K61" s="8"/>
      <c r="L61" s="8"/>
      <c r="M61" s="8"/>
      <c r="N61" s="8"/>
      <c r="O61" s="8"/>
      <c r="P61" s="8"/>
      <c r="Q61" s="8"/>
      <c r="R61" s="8"/>
      <c r="S61" s="8"/>
      <c r="T61" s="8"/>
      <c r="U61" s="8"/>
      <c r="V61" s="8"/>
      <c r="W61" s="8"/>
      <c r="X61" s="8"/>
      <c r="Y61" s="8"/>
      <c r="Z61" s="8"/>
      <c r="AA61" s="8"/>
      <c r="AB61" s="8"/>
      <c r="AC61" s="8"/>
      <c r="AD61" s="8"/>
      <c r="AE61" s="8"/>
      <c r="AF61" s="8"/>
      <c r="AG61" s="8"/>
      <c r="AH61" s="8"/>
      <c r="AI61" s="8"/>
      <c r="AJ61" s="8"/>
      <c r="AK61" s="8"/>
      <c r="AL61" s="8"/>
      <c r="AM61" s="8"/>
      <c r="AN61" s="8"/>
      <c r="AO61" s="8"/>
      <c r="AP61" s="8"/>
      <c r="AQ61" s="8"/>
      <c r="AR61" s="8"/>
      <c r="AS61" s="8"/>
      <c r="AT61" s="8"/>
      <c r="AU61" s="8"/>
      <c r="AV61" s="8"/>
      <c r="AW61" s="8"/>
      <c r="AX61" s="8"/>
      <c r="AY61" s="8"/>
      <c r="AZ61" s="8"/>
      <c r="BA61" s="8"/>
      <c r="BB61" s="8"/>
      <c r="BC61" s="8"/>
      <c r="BD61" s="8"/>
      <c r="BE61" s="8"/>
      <c r="BF61" s="8"/>
      <c r="BG61" s="8"/>
      <c r="BH61" s="8"/>
      <c r="BI61" s="8"/>
      <c r="BJ61" s="8"/>
      <c r="BK61" s="8"/>
      <c r="BL61" s="8"/>
      <c r="BM61" s="8"/>
    </row>
    <row r="62" spans="1:65" x14ac:dyDescent="0.35">
      <c r="A62" s="8"/>
      <c r="B62" s="8"/>
      <c r="C62" s="8"/>
      <c r="D62" s="8"/>
      <c r="E62" s="8"/>
      <c r="F62" s="8"/>
      <c r="G62" s="8"/>
      <c r="H62" s="8"/>
      <c r="I62" s="8"/>
      <c r="J62" s="8"/>
      <c r="K62" s="8"/>
      <c r="L62" s="8"/>
      <c r="M62" s="8"/>
      <c r="N62" s="8"/>
      <c r="O62" s="8"/>
      <c r="P62" s="8"/>
      <c r="Q62" s="8"/>
      <c r="R62" s="8"/>
      <c r="S62" s="8"/>
      <c r="T62" s="8"/>
      <c r="U62" s="8"/>
      <c r="V62" s="8"/>
      <c r="W62" s="8"/>
      <c r="X62" s="8"/>
      <c r="Y62" s="8"/>
      <c r="Z62" s="8"/>
      <c r="AA62" s="8"/>
      <c r="AB62" s="8"/>
      <c r="AC62" s="8"/>
      <c r="AD62" s="8"/>
      <c r="AE62" s="8"/>
      <c r="AF62" s="8"/>
      <c r="AG62" s="8"/>
      <c r="AH62" s="8"/>
      <c r="AI62" s="8"/>
      <c r="AJ62" s="8"/>
      <c r="AK62" s="8"/>
      <c r="AL62" s="8"/>
      <c r="AM62" s="8"/>
      <c r="AN62" s="8"/>
      <c r="AO62" s="8"/>
      <c r="AP62" s="8"/>
      <c r="AQ62" s="8"/>
      <c r="AR62" s="8"/>
      <c r="AS62" s="8"/>
      <c r="AT62" s="8"/>
      <c r="AU62" s="8"/>
      <c r="AV62" s="8"/>
      <c r="AW62" s="8"/>
      <c r="AX62" s="8"/>
      <c r="AY62" s="8"/>
      <c r="AZ62" s="8"/>
      <c r="BA62" s="8"/>
      <c r="BB62" s="8"/>
      <c r="BC62" s="8"/>
      <c r="BD62" s="8"/>
      <c r="BE62" s="8"/>
      <c r="BF62" s="8"/>
      <c r="BG62" s="8"/>
      <c r="BH62" s="8"/>
      <c r="BI62" s="8"/>
      <c r="BJ62" s="8"/>
      <c r="BK62" s="8"/>
      <c r="BL62" s="8"/>
      <c r="BM62" s="8"/>
    </row>
    <row r="63" spans="1:65" x14ac:dyDescent="0.35">
      <c r="A63" s="8"/>
      <c r="B63" s="8"/>
      <c r="C63" s="8"/>
      <c r="D63" s="8"/>
      <c r="E63" s="8"/>
      <c r="F63" s="8"/>
      <c r="G63" s="8"/>
      <c r="H63" s="8"/>
      <c r="I63" s="8"/>
      <c r="J63" s="8"/>
      <c r="K63" s="8"/>
      <c r="L63" s="8"/>
      <c r="M63" s="8"/>
      <c r="N63" s="8"/>
      <c r="O63" s="8"/>
      <c r="P63" s="8"/>
      <c r="Q63" s="8"/>
      <c r="R63" s="8"/>
      <c r="S63" s="8"/>
      <c r="T63" s="8"/>
      <c r="U63" s="8"/>
      <c r="V63" s="8"/>
      <c r="W63" s="8"/>
      <c r="X63" s="8"/>
      <c r="Y63" s="8"/>
      <c r="Z63" s="8"/>
      <c r="AA63" s="8"/>
      <c r="AB63" s="8"/>
      <c r="AC63" s="8"/>
      <c r="AD63" s="8"/>
      <c r="AE63" s="8"/>
      <c r="AF63" s="8"/>
      <c r="AG63" s="8"/>
      <c r="AH63" s="8"/>
      <c r="AI63" s="8"/>
      <c r="AJ63" s="8"/>
      <c r="AK63" s="8"/>
      <c r="AL63" s="8"/>
      <c r="AM63" s="8"/>
      <c r="AN63" s="8"/>
      <c r="AO63" s="8"/>
      <c r="AP63" s="8"/>
      <c r="AQ63" s="8"/>
      <c r="AR63" s="8"/>
      <c r="AS63" s="8"/>
      <c r="AT63" s="8"/>
      <c r="AU63" s="8"/>
      <c r="AV63" s="8"/>
      <c r="AW63" s="8"/>
      <c r="AX63" s="8"/>
      <c r="AY63" s="8"/>
      <c r="AZ63" s="8"/>
      <c r="BA63" s="8"/>
      <c r="BB63" s="8"/>
      <c r="BC63" s="8"/>
      <c r="BD63" s="8"/>
      <c r="BE63" s="8"/>
      <c r="BF63" s="8"/>
      <c r="BG63" s="8"/>
      <c r="BH63" s="8"/>
      <c r="BI63" s="8"/>
      <c r="BJ63" s="8"/>
      <c r="BK63" s="8"/>
      <c r="BL63" s="8"/>
      <c r="BM63" s="8"/>
    </row>
    <row r="64" spans="1:65" x14ac:dyDescent="0.35">
      <c r="A64" s="8"/>
      <c r="B64" s="8"/>
      <c r="C64" s="8"/>
      <c r="D64" s="8"/>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c r="AG64" s="8"/>
      <c r="AH64" s="8"/>
      <c r="AI64" s="8"/>
      <c r="AJ64" s="8"/>
      <c r="AK64" s="8"/>
      <c r="AL64" s="8"/>
      <c r="AM64" s="8"/>
      <c r="AN64" s="8"/>
      <c r="AO64" s="8"/>
      <c r="AP64" s="8"/>
      <c r="AQ64" s="8"/>
      <c r="AR64" s="8"/>
      <c r="AS64" s="8"/>
      <c r="AT64" s="8"/>
      <c r="AU64" s="8"/>
      <c r="AV64" s="8"/>
      <c r="AW64" s="8"/>
      <c r="AX64" s="8"/>
      <c r="AY64" s="8"/>
      <c r="AZ64" s="8"/>
      <c r="BA64" s="8"/>
      <c r="BB64" s="8"/>
      <c r="BC64" s="8"/>
      <c r="BD64" s="8"/>
      <c r="BE64" s="8"/>
      <c r="BF64" s="8"/>
      <c r="BG64" s="8"/>
      <c r="BH64" s="8"/>
      <c r="BI64" s="8"/>
      <c r="BJ64" s="8"/>
      <c r="BK64" s="8"/>
      <c r="BL64" s="8"/>
      <c r="BM64" s="8"/>
    </row>
    <row r="65" spans="1:65" x14ac:dyDescent="0.35">
      <c r="A65" s="8"/>
      <c r="B65" s="8"/>
      <c r="C65" s="8"/>
      <c r="D65" s="8"/>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c r="AN65" s="8"/>
      <c r="AO65" s="8"/>
      <c r="AP65" s="8"/>
      <c r="AQ65" s="8"/>
      <c r="AR65" s="8"/>
      <c r="AS65" s="8"/>
      <c r="AT65" s="8"/>
      <c r="AU65" s="8"/>
      <c r="AV65" s="8"/>
      <c r="AW65" s="8"/>
      <c r="AX65" s="8"/>
      <c r="AY65" s="8"/>
      <c r="AZ65" s="8"/>
      <c r="BA65" s="8"/>
      <c r="BB65" s="8"/>
      <c r="BC65" s="8"/>
      <c r="BD65" s="8"/>
      <c r="BE65" s="8"/>
      <c r="BF65" s="8"/>
      <c r="BG65" s="8"/>
      <c r="BH65" s="8"/>
      <c r="BI65" s="8"/>
      <c r="BJ65" s="8"/>
      <c r="BK65" s="8"/>
      <c r="BL65" s="8"/>
      <c r="BM65" s="8"/>
    </row>
    <row r="66" spans="1:65" x14ac:dyDescent="0.35">
      <c r="A66" s="8"/>
      <c r="B66" s="8"/>
      <c r="C66" s="8"/>
      <c r="D66" s="8"/>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c r="AG66" s="8"/>
      <c r="AH66" s="8"/>
      <c r="AI66" s="8"/>
      <c r="AJ66" s="8"/>
      <c r="AK66" s="8"/>
      <c r="AL66" s="8"/>
      <c r="AM66" s="8"/>
      <c r="AN66" s="8"/>
      <c r="AO66" s="8"/>
      <c r="AP66" s="8"/>
      <c r="AQ66" s="8"/>
      <c r="AR66" s="8"/>
      <c r="AS66" s="8"/>
      <c r="AT66" s="8"/>
      <c r="AU66" s="8"/>
      <c r="AV66" s="8"/>
      <c r="AW66" s="8"/>
      <c r="AX66" s="8"/>
      <c r="AY66" s="8"/>
      <c r="AZ66" s="8"/>
      <c r="BA66" s="8"/>
      <c r="BB66" s="8"/>
      <c r="BC66" s="8"/>
      <c r="BD66" s="8"/>
      <c r="BE66" s="8"/>
      <c r="BF66" s="8"/>
      <c r="BG66" s="8"/>
      <c r="BH66" s="8"/>
      <c r="BI66" s="8"/>
      <c r="BJ66" s="8"/>
      <c r="BK66" s="8"/>
      <c r="BL66" s="8"/>
      <c r="BM66" s="8"/>
    </row>
    <row r="67" spans="1:65" x14ac:dyDescent="0.35">
      <c r="A67" s="8"/>
      <c r="B67" s="8"/>
      <c r="C67" s="8"/>
      <c r="D67" s="8"/>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8"/>
      <c r="AJ67" s="8"/>
      <c r="AK67" s="8"/>
      <c r="AL67" s="8"/>
      <c r="AM67" s="8"/>
      <c r="AN67" s="8"/>
      <c r="AO67" s="8"/>
      <c r="AP67" s="8"/>
      <c r="AQ67" s="8"/>
      <c r="AR67" s="8"/>
      <c r="AS67" s="8"/>
      <c r="AT67" s="8"/>
      <c r="AU67" s="8"/>
      <c r="AV67" s="8"/>
      <c r="AW67" s="8"/>
      <c r="AX67" s="8"/>
      <c r="AY67" s="8"/>
      <c r="AZ67" s="8"/>
      <c r="BA67" s="8"/>
      <c r="BB67" s="8"/>
      <c r="BC67" s="8"/>
      <c r="BD67" s="8"/>
      <c r="BE67" s="8"/>
      <c r="BF67" s="8"/>
      <c r="BG67" s="8"/>
      <c r="BH67" s="8"/>
      <c r="BI67" s="8"/>
      <c r="BJ67" s="8"/>
      <c r="BK67" s="8"/>
      <c r="BL67" s="8"/>
      <c r="BM67" s="8"/>
    </row>
    <row r="68" spans="1:65" x14ac:dyDescent="0.35">
      <c r="A68" s="8"/>
      <c r="B68" s="8"/>
      <c r="C68" s="8"/>
      <c r="D68" s="8"/>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8"/>
      <c r="AJ68" s="8"/>
      <c r="AK68" s="8"/>
      <c r="AL68" s="8"/>
      <c r="AM68" s="8"/>
      <c r="AN68" s="8"/>
      <c r="AO68" s="8"/>
      <c r="AP68" s="8"/>
      <c r="AQ68" s="8"/>
      <c r="AR68" s="8"/>
      <c r="AS68" s="8"/>
      <c r="AT68" s="8"/>
      <c r="AU68" s="8"/>
      <c r="AV68" s="8"/>
      <c r="AW68" s="8"/>
      <c r="AX68" s="8"/>
      <c r="AY68" s="8"/>
      <c r="AZ68" s="8"/>
      <c r="BA68" s="8"/>
      <c r="BB68" s="8"/>
      <c r="BC68" s="8"/>
      <c r="BD68" s="8"/>
      <c r="BE68" s="8"/>
      <c r="BF68" s="8"/>
      <c r="BG68" s="8"/>
      <c r="BH68" s="8"/>
      <c r="BI68" s="8"/>
      <c r="BJ68" s="8"/>
      <c r="BK68" s="8"/>
      <c r="BL68" s="8"/>
      <c r="BM68" s="8"/>
    </row>
    <row r="69" spans="1:65" x14ac:dyDescent="0.35">
      <c r="A69" s="8"/>
      <c r="B69" s="8"/>
      <c r="C69" s="8"/>
      <c r="D69" s="8"/>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c r="AI69" s="8"/>
      <c r="AJ69" s="8"/>
      <c r="AK69" s="8"/>
      <c r="AL69" s="8"/>
      <c r="AM69" s="8"/>
      <c r="AN69" s="8"/>
      <c r="AO69" s="8"/>
      <c r="AP69" s="8"/>
      <c r="AQ69" s="8"/>
      <c r="AR69" s="8"/>
      <c r="AS69" s="8"/>
      <c r="AT69" s="8"/>
      <c r="AU69" s="8"/>
      <c r="AV69" s="8"/>
      <c r="AW69" s="8"/>
      <c r="AX69" s="8"/>
      <c r="AY69" s="8"/>
      <c r="AZ69" s="8"/>
      <c r="BA69" s="8"/>
      <c r="BB69" s="8"/>
      <c r="BC69" s="8"/>
      <c r="BD69" s="8"/>
      <c r="BE69" s="8"/>
      <c r="BF69" s="8"/>
      <c r="BG69" s="8"/>
      <c r="BH69" s="8"/>
      <c r="BI69" s="8"/>
      <c r="BJ69" s="8"/>
      <c r="BK69" s="8"/>
      <c r="BL69" s="8"/>
      <c r="BM69" s="8"/>
    </row>
    <row r="70" spans="1:65" x14ac:dyDescent="0.35">
      <c r="A70" s="8"/>
      <c r="B70" s="8"/>
      <c r="C70" s="8"/>
      <c r="D70" s="8"/>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8"/>
      <c r="AJ70" s="8"/>
      <c r="AK70" s="8"/>
      <c r="AL70" s="8"/>
      <c r="AM70" s="8"/>
      <c r="AN70" s="8"/>
      <c r="AO70" s="8"/>
      <c r="AP70" s="8"/>
      <c r="AQ70" s="8"/>
      <c r="AR70" s="8"/>
      <c r="AS70" s="8"/>
      <c r="AT70" s="8"/>
      <c r="AU70" s="8"/>
      <c r="AV70" s="8"/>
      <c r="AW70" s="8"/>
      <c r="AX70" s="8"/>
      <c r="AY70" s="8"/>
      <c r="AZ70" s="8"/>
      <c r="BA70" s="8"/>
      <c r="BB70" s="8"/>
      <c r="BC70" s="8"/>
      <c r="BD70" s="8"/>
      <c r="BE70" s="8"/>
      <c r="BF70" s="8"/>
      <c r="BG70" s="8"/>
      <c r="BH70" s="8"/>
      <c r="BI70" s="8"/>
      <c r="BJ70" s="8"/>
      <c r="BK70" s="8"/>
      <c r="BL70" s="8"/>
      <c r="BM70" s="8"/>
    </row>
    <row r="71" spans="1:65" x14ac:dyDescent="0.35">
      <c r="A71" s="8"/>
      <c r="B71" s="8"/>
      <c r="C71" s="8"/>
      <c r="D71" s="8"/>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8"/>
      <c r="AJ71" s="8"/>
      <c r="AK71" s="8"/>
      <c r="AL71" s="8"/>
      <c r="AM71" s="8"/>
      <c r="AN71" s="8"/>
      <c r="AO71" s="8"/>
      <c r="AP71" s="8"/>
      <c r="AQ71" s="8"/>
      <c r="AR71" s="8"/>
      <c r="AS71" s="8"/>
      <c r="AT71" s="8"/>
      <c r="AU71" s="8"/>
      <c r="AV71" s="8"/>
      <c r="AW71" s="8"/>
      <c r="AX71" s="8"/>
      <c r="AY71" s="8"/>
      <c r="AZ71" s="8"/>
      <c r="BA71" s="8"/>
      <c r="BB71" s="8"/>
      <c r="BC71" s="8"/>
      <c r="BD71" s="8"/>
      <c r="BE71" s="8"/>
      <c r="BF71" s="8"/>
      <c r="BG71" s="8"/>
      <c r="BH71" s="8"/>
      <c r="BI71" s="8"/>
      <c r="BJ71" s="8"/>
      <c r="BK71" s="8"/>
      <c r="BL71" s="8"/>
      <c r="BM71" s="8"/>
    </row>
    <row r="72" spans="1:65" x14ac:dyDescent="0.35">
      <c r="A72" s="8"/>
      <c r="B72" s="8"/>
      <c r="C72" s="8"/>
      <c r="D72" s="8"/>
      <c r="E72" s="8"/>
      <c r="F72" s="8"/>
      <c r="G72" s="8"/>
      <c r="H72" s="8"/>
      <c r="I72" s="8"/>
      <c r="J72" s="8"/>
      <c r="K72" s="8"/>
      <c r="L72" s="8"/>
      <c r="M72" s="8"/>
      <c r="N72" s="8"/>
      <c r="O72" s="8"/>
      <c r="P72" s="8"/>
      <c r="Q72" s="8"/>
      <c r="R72" s="8"/>
      <c r="S72" s="8"/>
      <c r="T72" s="8"/>
      <c r="U72" s="8"/>
      <c r="V72" s="8"/>
      <c r="W72" s="8"/>
      <c r="X72" s="8"/>
      <c r="Y72" s="8"/>
      <c r="Z72" s="8"/>
      <c r="AA72" s="8"/>
      <c r="AB72" s="8"/>
      <c r="AC72" s="8"/>
      <c r="AD72" s="8"/>
      <c r="AE72" s="8"/>
      <c r="AF72" s="8"/>
      <c r="AG72" s="8"/>
      <c r="AH72" s="8"/>
      <c r="AI72" s="8"/>
      <c r="AJ72" s="8"/>
      <c r="AK72" s="8"/>
      <c r="AL72" s="8"/>
      <c r="AM72" s="8"/>
      <c r="AN72" s="8"/>
      <c r="AO72" s="8"/>
      <c r="AP72" s="8"/>
      <c r="AQ72" s="8"/>
      <c r="AR72" s="8"/>
      <c r="AS72" s="8"/>
      <c r="AT72" s="8"/>
      <c r="AU72" s="8"/>
      <c r="AV72" s="8"/>
      <c r="AW72" s="8"/>
      <c r="AX72" s="8"/>
      <c r="AY72" s="8"/>
      <c r="AZ72" s="8"/>
      <c r="BA72" s="8"/>
      <c r="BB72" s="8"/>
      <c r="BC72" s="8"/>
      <c r="BD72" s="8"/>
      <c r="BE72" s="8"/>
      <c r="BF72" s="8"/>
      <c r="BG72" s="8"/>
      <c r="BH72" s="8"/>
      <c r="BI72" s="8"/>
      <c r="BJ72" s="8"/>
      <c r="BK72" s="8"/>
      <c r="BL72" s="8"/>
      <c r="BM72" s="8"/>
    </row>
    <row r="73" spans="1:65" x14ac:dyDescent="0.35">
      <c r="A73" s="8"/>
      <c r="B73" s="8"/>
      <c r="C73" s="8"/>
      <c r="D73" s="8"/>
      <c r="E73" s="8"/>
      <c r="F73" s="8"/>
      <c r="G73" s="8"/>
      <c r="H73" s="8"/>
      <c r="I73" s="8"/>
      <c r="J73" s="8"/>
      <c r="K73" s="8"/>
      <c r="L73" s="8"/>
      <c r="M73" s="8"/>
      <c r="N73" s="8"/>
      <c r="O73" s="8"/>
      <c r="P73" s="8"/>
      <c r="Q73" s="8"/>
      <c r="R73" s="8"/>
      <c r="S73" s="8"/>
      <c r="T73" s="8"/>
      <c r="U73" s="8"/>
      <c r="V73" s="8"/>
      <c r="W73" s="8"/>
      <c r="X73" s="8"/>
      <c r="Y73" s="8"/>
      <c r="Z73" s="8"/>
      <c r="AA73" s="8"/>
      <c r="AB73" s="8"/>
      <c r="AC73" s="8"/>
      <c r="AD73" s="8"/>
      <c r="AE73" s="8"/>
      <c r="AF73" s="8"/>
      <c r="AG73" s="8"/>
      <c r="AH73" s="8"/>
      <c r="AI73" s="8"/>
      <c r="AJ73" s="8"/>
      <c r="AK73" s="8"/>
      <c r="AL73" s="8"/>
      <c r="AM73" s="8"/>
      <c r="AN73" s="8"/>
      <c r="AO73" s="8"/>
      <c r="AP73" s="8"/>
      <c r="AQ73" s="8"/>
      <c r="AR73" s="8"/>
      <c r="AS73" s="8"/>
      <c r="AT73" s="8"/>
      <c r="AU73" s="8"/>
      <c r="AV73" s="8"/>
      <c r="AW73" s="8"/>
      <c r="AX73" s="8"/>
      <c r="AY73" s="8"/>
      <c r="AZ73" s="8"/>
      <c r="BA73" s="8"/>
      <c r="BB73" s="8"/>
      <c r="BC73" s="8"/>
      <c r="BD73" s="8"/>
      <c r="BE73" s="8"/>
      <c r="BF73" s="8"/>
      <c r="BG73" s="8"/>
      <c r="BH73" s="8"/>
      <c r="BI73" s="8"/>
      <c r="BJ73" s="8"/>
      <c r="BK73" s="8"/>
      <c r="BL73" s="8"/>
      <c r="BM73" s="8"/>
    </row>
    <row r="74" spans="1:65" x14ac:dyDescent="0.35">
      <c r="A74" s="8"/>
      <c r="B74" s="8"/>
      <c r="C74" s="8"/>
      <c r="D74" s="8"/>
      <c r="E74" s="8"/>
      <c r="F74" s="8"/>
      <c r="G74" s="8"/>
      <c r="H74" s="8"/>
      <c r="I74" s="8"/>
      <c r="J74" s="8"/>
      <c r="K74" s="8"/>
      <c r="L74" s="8"/>
      <c r="M74" s="8"/>
      <c r="N74" s="8"/>
      <c r="O74" s="8"/>
      <c r="P74" s="8"/>
      <c r="Q74" s="8"/>
      <c r="R74" s="8"/>
      <c r="S74" s="8"/>
      <c r="T74" s="8"/>
      <c r="U74" s="8"/>
      <c r="V74" s="8"/>
      <c r="W74" s="8"/>
      <c r="X74" s="8"/>
      <c r="Y74" s="8"/>
      <c r="Z74" s="8"/>
      <c r="AA74" s="8"/>
      <c r="AB74" s="8"/>
      <c r="AC74" s="8"/>
      <c r="AD74" s="8"/>
      <c r="AE74" s="8"/>
      <c r="AF74" s="8"/>
      <c r="AG74" s="8"/>
      <c r="AH74" s="8"/>
      <c r="AI74" s="8"/>
      <c r="AJ74" s="8"/>
      <c r="AK74" s="8"/>
      <c r="AL74" s="8"/>
      <c r="AM74" s="8"/>
      <c r="AN74" s="8"/>
      <c r="AO74" s="8"/>
      <c r="AP74" s="8"/>
      <c r="AQ74" s="8"/>
      <c r="AR74" s="8"/>
      <c r="AS74" s="8"/>
      <c r="AT74" s="8"/>
      <c r="AU74" s="8"/>
      <c r="AV74" s="8"/>
      <c r="AW74" s="8"/>
      <c r="AX74" s="8"/>
      <c r="AY74" s="8"/>
      <c r="AZ74" s="8"/>
      <c r="BA74" s="8"/>
      <c r="BB74" s="8"/>
      <c r="BC74" s="8"/>
      <c r="BD74" s="8"/>
      <c r="BE74" s="8"/>
      <c r="BF74" s="8"/>
      <c r="BG74" s="8"/>
      <c r="BH74" s="8"/>
      <c r="BI74" s="8"/>
      <c r="BJ74" s="8"/>
      <c r="BK74" s="8"/>
      <c r="BL74" s="8"/>
      <c r="BM74" s="8"/>
    </row>
    <row r="75" spans="1:65" x14ac:dyDescent="0.35">
      <c r="A75" s="8"/>
      <c r="B75" s="8"/>
      <c r="C75" s="8"/>
      <c r="D75" s="8"/>
      <c r="E75" s="8"/>
      <c r="F75" s="8"/>
      <c r="G75" s="8"/>
      <c r="H75" s="8"/>
      <c r="I75" s="8"/>
      <c r="J75" s="8"/>
      <c r="K75" s="8"/>
      <c r="L75" s="8"/>
      <c r="M75" s="8"/>
      <c r="N75" s="8"/>
      <c r="O75" s="8"/>
      <c r="P75" s="8"/>
      <c r="Q75" s="8"/>
      <c r="R75" s="8"/>
      <c r="S75" s="8"/>
      <c r="T75" s="8"/>
      <c r="U75" s="8"/>
      <c r="W75" s="8"/>
      <c r="X75" s="8"/>
      <c r="Y75" s="8"/>
      <c r="Z75" s="8"/>
      <c r="AA75" s="8"/>
      <c r="AB75" s="8"/>
      <c r="AC75" s="8"/>
      <c r="AD75" s="8"/>
      <c r="AE75" s="8"/>
      <c r="AF75" s="8"/>
      <c r="AG75" s="8"/>
      <c r="AH75" s="8"/>
      <c r="AI75" s="8"/>
      <c r="AJ75" s="8"/>
      <c r="AK75" s="8"/>
      <c r="AL75" s="8"/>
      <c r="AM75" s="8"/>
      <c r="AN75" s="8"/>
      <c r="AO75" s="8"/>
      <c r="AP75" s="8"/>
      <c r="AQ75" s="8"/>
      <c r="AR75" s="8"/>
      <c r="AS75" s="8"/>
      <c r="AT75" s="8"/>
      <c r="AU75" s="8"/>
      <c r="AV75" s="8"/>
      <c r="AW75" s="8"/>
      <c r="AX75" s="8"/>
      <c r="AY75" s="8"/>
      <c r="AZ75" s="8"/>
      <c r="BA75" s="8"/>
      <c r="BB75" s="8"/>
      <c r="BC75" s="8"/>
      <c r="BD75" s="8"/>
      <c r="BE75" s="8"/>
      <c r="BF75" s="8"/>
      <c r="BG75" s="8"/>
      <c r="BH75" s="8"/>
      <c r="BI75" s="8"/>
      <c r="BJ75" s="8"/>
      <c r="BK75" s="8"/>
      <c r="BL75" s="8"/>
      <c r="BM75" s="8"/>
    </row>
    <row r="76" spans="1:65" x14ac:dyDescent="0.35">
      <c r="A76" s="8"/>
      <c r="B76" s="8"/>
      <c r="C76" s="8"/>
      <c r="D76" s="8"/>
      <c r="E76" s="8"/>
      <c r="F76" s="8"/>
      <c r="G76" s="8"/>
      <c r="H76" s="8"/>
      <c r="I76" s="8"/>
      <c r="J76" s="8"/>
      <c r="K76" s="8"/>
      <c r="L76" s="8"/>
      <c r="M76" s="8"/>
      <c r="N76" s="8"/>
      <c r="O76" s="8"/>
      <c r="P76" s="8"/>
      <c r="Q76" s="8"/>
      <c r="R76" s="8"/>
      <c r="S76" s="8"/>
      <c r="T76" s="8"/>
      <c r="U76" s="8"/>
      <c r="V76" s="8"/>
      <c r="W76" s="8"/>
      <c r="X76" s="8"/>
      <c r="Y76" s="8"/>
      <c r="Z76" s="8"/>
      <c r="AA76" s="8"/>
      <c r="AB76" s="8"/>
      <c r="AC76" s="8"/>
      <c r="AD76" s="8"/>
      <c r="AE76" s="8"/>
      <c r="AF76" s="8"/>
      <c r="AG76" s="8"/>
      <c r="AH76" s="8"/>
      <c r="AI76" s="8"/>
      <c r="AJ76" s="8"/>
      <c r="AK76" s="8"/>
      <c r="AL76" s="8"/>
      <c r="AM76" s="8"/>
      <c r="AN76" s="8"/>
      <c r="AO76" s="8"/>
      <c r="AP76" s="8"/>
      <c r="AQ76" s="8"/>
      <c r="AR76" s="8"/>
      <c r="AS76" s="8"/>
      <c r="AT76" s="8"/>
      <c r="AU76" s="8"/>
      <c r="AV76" s="8"/>
      <c r="AW76" s="8"/>
      <c r="AX76" s="8"/>
      <c r="AY76" s="8"/>
      <c r="AZ76" s="8"/>
      <c r="BA76" s="8"/>
      <c r="BB76" s="8"/>
      <c r="BC76" s="8"/>
      <c r="BD76" s="8"/>
      <c r="BE76" s="8"/>
      <c r="BF76" s="8"/>
      <c r="BG76" s="8"/>
      <c r="BH76" s="8"/>
      <c r="BI76" s="8"/>
      <c r="BJ76" s="8"/>
      <c r="BK76" s="8"/>
      <c r="BL76" s="8"/>
      <c r="BM76" s="8"/>
    </row>
    <row r="77" spans="1:65" x14ac:dyDescent="0.35">
      <c r="A77" s="8"/>
      <c r="B77" s="8"/>
      <c r="C77" s="8"/>
      <c r="D77" s="8"/>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c r="AI77" s="8"/>
      <c r="AJ77" s="8"/>
      <c r="AK77" s="8"/>
      <c r="AL77" s="8"/>
      <c r="AM77" s="8"/>
      <c r="AN77" s="8"/>
      <c r="AO77" s="8"/>
      <c r="AP77" s="8"/>
      <c r="AQ77" s="8"/>
      <c r="AR77" s="8"/>
      <c r="AS77" s="8"/>
      <c r="AT77" s="8"/>
      <c r="AU77" s="8"/>
      <c r="AV77" s="8"/>
      <c r="AW77" s="8"/>
      <c r="AX77" s="8"/>
      <c r="AY77" s="8"/>
      <c r="AZ77" s="8"/>
      <c r="BA77" s="8"/>
      <c r="BB77" s="8"/>
      <c r="BC77" s="8"/>
      <c r="BD77" s="8"/>
      <c r="BE77" s="8"/>
      <c r="BF77" s="8"/>
      <c r="BG77" s="8"/>
      <c r="BH77" s="8"/>
      <c r="BI77" s="8"/>
      <c r="BJ77" s="8"/>
      <c r="BK77" s="8"/>
      <c r="BL77" s="8"/>
      <c r="BM77" s="8"/>
    </row>
    <row r="78" spans="1:65" x14ac:dyDescent="0.35">
      <c r="A78" s="8"/>
      <c r="B78" s="8"/>
      <c r="C78" s="8"/>
      <c r="D78" s="8"/>
      <c r="E78" s="8"/>
      <c r="F78" s="8"/>
      <c r="G78" s="8"/>
      <c r="H78" s="8"/>
      <c r="I78" s="8"/>
      <c r="J78" s="8"/>
      <c r="K78" s="8"/>
      <c r="L78" s="8"/>
      <c r="M78" s="8"/>
      <c r="N78" s="8"/>
      <c r="O78" s="8"/>
      <c r="P78" s="8"/>
      <c r="Q78" s="8"/>
      <c r="R78" s="8"/>
      <c r="S78" s="8"/>
      <c r="T78" s="8"/>
      <c r="U78" s="8"/>
      <c r="V78" s="8"/>
      <c r="W78" s="8"/>
      <c r="X78" s="8"/>
      <c r="Y78" s="8"/>
      <c r="Z78" s="8"/>
      <c r="AA78" s="8"/>
      <c r="AB78" s="8"/>
      <c r="AC78" s="8"/>
      <c r="AD78" s="8"/>
      <c r="AE78" s="8"/>
      <c r="AF78" s="8"/>
      <c r="AG78" s="8"/>
      <c r="AH78" s="8"/>
      <c r="AI78" s="8"/>
      <c r="AJ78" s="8"/>
      <c r="AK78" s="8"/>
      <c r="AL78" s="8"/>
      <c r="AM78" s="8"/>
      <c r="AN78" s="8"/>
      <c r="AO78" s="8"/>
      <c r="AP78" s="8"/>
      <c r="AQ78" s="8"/>
      <c r="AR78" s="8"/>
      <c r="AS78" s="8"/>
      <c r="AT78" s="8"/>
      <c r="AU78" s="8"/>
      <c r="AV78" s="8"/>
      <c r="AW78" s="8"/>
      <c r="AX78" s="8"/>
      <c r="AY78" s="8"/>
      <c r="AZ78" s="8"/>
      <c r="BA78" s="8"/>
      <c r="BB78" s="8"/>
      <c r="BC78" s="8"/>
      <c r="BD78" s="8"/>
      <c r="BE78" s="8"/>
      <c r="BF78" s="8"/>
      <c r="BG78" s="8"/>
      <c r="BH78" s="8"/>
      <c r="BI78" s="8"/>
      <c r="BJ78" s="8"/>
      <c r="BK78" s="8"/>
      <c r="BL78" s="8"/>
      <c r="BM78" s="8"/>
    </row>
    <row r="79" spans="1:65" x14ac:dyDescent="0.35">
      <c r="A79" s="8"/>
      <c r="B79" s="8"/>
      <c r="C79" s="8"/>
      <c r="D79" s="8"/>
      <c r="E79" s="8"/>
      <c r="F79" s="8"/>
      <c r="G79" s="8"/>
      <c r="H79" s="8"/>
      <c r="I79" s="8"/>
      <c r="J79" s="8"/>
      <c r="K79" s="8"/>
      <c r="L79" s="8"/>
      <c r="M79" s="8"/>
      <c r="N79" s="8"/>
      <c r="O79" s="8"/>
      <c r="P79" s="8"/>
      <c r="Q79" s="8"/>
      <c r="R79" s="8"/>
      <c r="S79" s="8"/>
      <c r="T79" s="8"/>
      <c r="U79" s="8"/>
      <c r="V79" s="8"/>
      <c r="W79" s="8"/>
      <c r="X79" s="8"/>
      <c r="Y79" s="8"/>
      <c r="Z79" s="8"/>
      <c r="AA79" s="8"/>
      <c r="AB79" s="8"/>
      <c r="AC79" s="8"/>
      <c r="AD79" s="8"/>
      <c r="AE79" s="8"/>
      <c r="AF79" s="8"/>
      <c r="AG79" s="8"/>
      <c r="AH79" s="8"/>
      <c r="AI79" s="8"/>
      <c r="AJ79" s="8"/>
      <c r="AK79" s="8"/>
      <c r="AL79" s="8"/>
      <c r="AM79" s="8"/>
      <c r="AN79" s="8"/>
      <c r="AO79" s="8"/>
      <c r="AP79" s="8"/>
      <c r="AQ79" s="8"/>
      <c r="AR79" s="8"/>
      <c r="AS79" s="8"/>
      <c r="AT79" s="8"/>
      <c r="AU79" s="8"/>
      <c r="AV79" s="8"/>
      <c r="AW79" s="8"/>
      <c r="AX79" s="8"/>
      <c r="AY79" s="8"/>
      <c r="AZ79" s="8"/>
      <c r="BA79" s="8"/>
      <c r="BB79" s="8"/>
      <c r="BC79" s="8"/>
      <c r="BD79" s="8"/>
      <c r="BE79" s="8"/>
      <c r="BF79" s="8"/>
      <c r="BG79" s="8"/>
      <c r="BH79" s="8"/>
      <c r="BI79" s="8"/>
      <c r="BJ79" s="8"/>
      <c r="BK79" s="8"/>
      <c r="BL79" s="8"/>
      <c r="BM79" s="8"/>
    </row>
    <row r="80" spans="1:65" x14ac:dyDescent="0.35">
      <c r="A80" s="8"/>
      <c r="B80" s="8"/>
      <c r="C80" s="8"/>
      <c r="D80" s="8"/>
      <c r="E80" s="8"/>
      <c r="F80" s="8"/>
      <c r="G80" s="8"/>
      <c r="H80" s="8"/>
      <c r="I80" s="8"/>
      <c r="J80" s="8"/>
      <c r="K80" s="8"/>
      <c r="L80" s="8"/>
      <c r="M80" s="8"/>
      <c r="N80" s="8"/>
      <c r="O80" s="8"/>
      <c r="P80" s="8"/>
      <c r="Q80" s="8"/>
      <c r="R80" s="8"/>
      <c r="S80" s="8"/>
      <c r="T80" s="8"/>
      <c r="U80" s="8"/>
      <c r="V80" s="8"/>
      <c r="W80" s="8"/>
      <c r="X80" s="8"/>
      <c r="Y80" s="8"/>
      <c r="Z80" s="8"/>
      <c r="AA80" s="8"/>
      <c r="AB80" s="8"/>
      <c r="AC80" s="8"/>
      <c r="AD80" s="8"/>
      <c r="AE80" s="8"/>
      <c r="AF80" s="8"/>
      <c r="AG80" s="8"/>
      <c r="AH80" s="8"/>
      <c r="AI80" s="8"/>
      <c r="AJ80" s="8"/>
      <c r="AK80" s="8"/>
      <c r="AL80" s="8"/>
      <c r="AM80" s="8"/>
      <c r="AN80" s="8"/>
      <c r="AO80" s="8"/>
      <c r="AP80" s="8"/>
      <c r="AQ80" s="8"/>
      <c r="AR80" s="8"/>
      <c r="AS80" s="8"/>
      <c r="AT80" s="8"/>
      <c r="AU80" s="8"/>
      <c r="AV80" s="8"/>
      <c r="AW80" s="8"/>
      <c r="AX80" s="8"/>
      <c r="AY80" s="8"/>
      <c r="AZ80" s="8"/>
      <c r="BA80" s="8"/>
      <c r="BB80" s="8"/>
      <c r="BC80" s="8"/>
      <c r="BD80" s="8"/>
      <c r="BE80" s="8"/>
      <c r="BF80" s="8"/>
      <c r="BG80" s="8"/>
      <c r="BH80" s="8"/>
      <c r="BI80" s="8"/>
      <c r="BJ80" s="8"/>
      <c r="BK80" s="8"/>
      <c r="BL80" s="8"/>
      <c r="BM80" s="8"/>
    </row>
    <row r="81" spans="1:65" x14ac:dyDescent="0.35">
      <c r="A81" s="8"/>
      <c r="B81" s="8"/>
      <c r="C81" s="8"/>
      <c r="D81" s="8"/>
      <c r="E81" s="8"/>
      <c r="F81" s="8"/>
      <c r="G81" s="8"/>
      <c r="H81" s="8"/>
      <c r="I81" s="8"/>
      <c r="J81" s="8"/>
      <c r="K81" s="8"/>
      <c r="L81" s="8"/>
      <c r="M81" s="8"/>
      <c r="N81" s="8"/>
      <c r="O81" s="8"/>
      <c r="P81" s="8"/>
      <c r="Q81" s="8"/>
      <c r="R81" s="8"/>
      <c r="S81" s="8"/>
      <c r="T81" s="8"/>
      <c r="U81" s="8"/>
      <c r="V81" s="8"/>
      <c r="W81" s="8"/>
      <c r="X81" s="8"/>
      <c r="Y81" s="8"/>
      <c r="Z81" s="8"/>
      <c r="AA81" s="8"/>
      <c r="AB81" s="8"/>
      <c r="AC81" s="8"/>
      <c r="AD81" s="8"/>
      <c r="AE81" s="8"/>
      <c r="AF81" s="8"/>
      <c r="AG81" s="8"/>
      <c r="AH81" s="8"/>
      <c r="AI81" s="8"/>
      <c r="AJ81" s="8"/>
      <c r="AK81" s="8"/>
      <c r="AL81" s="8"/>
      <c r="AM81" s="8"/>
      <c r="AN81" s="8"/>
      <c r="AO81" s="8"/>
      <c r="AP81" s="8"/>
      <c r="AQ81" s="8"/>
      <c r="AR81" s="8"/>
      <c r="AS81" s="8"/>
      <c r="AT81" s="8"/>
      <c r="AU81" s="8"/>
      <c r="AV81" s="8"/>
      <c r="AW81" s="8"/>
      <c r="AX81" s="8"/>
      <c r="AY81" s="8"/>
      <c r="AZ81" s="8"/>
      <c r="BA81" s="8"/>
      <c r="BB81" s="8"/>
      <c r="BC81" s="8"/>
      <c r="BD81" s="8"/>
      <c r="BE81" s="8"/>
      <c r="BF81" s="8"/>
      <c r="BG81" s="8"/>
      <c r="BH81" s="8"/>
      <c r="BI81" s="8"/>
      <c r="BJ81" s="8"/>
      <c r="BK81" s="8"/>
      <c r="BL81" s="8"/>
      <c r="BM81" s="8"/>
    </row>
    <row r="82" spans="1:65" x14ac:dyDescent="0.35">
      <c r="A82" s="8"/>
      <c r="B82" s="8"/>
      <c r="C82" s="8"/>
      <c r="D82" s="8"/>
      <c r="E82" s="8"/>
      <c r="F82" s="8"/>
      <c r="G82" s="8"/>
      <c r="H82" s="8"/>
      <c r="I82" s="8"/>
      <c r="J82" s="8"/>
      <c r="K82" s="8"/>
      <c r="L82" s="8"/>
      <c r="M82" s="8"/>
      <c r="N82" s="8"/>
      <c r="O82" s="8"/>
      <c r="P82" s="8"/>
      <c r="Q82" s="8"/>
      <c r="R82" s="8"/>
      <c r="S82" s="8"/>
      <c r="T82" s="8"/>
      <c r="U82" s="8"/>
      <c r="V82" s="8"/>
      <c r="W82" s="8"/>
      <c r="X82" s="8"/>
      <c r="Y82" s="8"/>
      <c r="Z82" s="8"/>
      <c r="AA82" s="8"/>
      <c r="AB82" s="8"/>
      <c r="AC82" s="8"/>
      <c r="AD82" s="8"/>
      <c r="AE82" s="8"/>
      <c r="AF82" s="8"/>
      <c r="AG82" s="8"/>
      <c r="AH82" s="8"/>
      <c r="AI82" s="8"/>
      <c r="AJ82" s="8"/>
      <c r="AK82" s="8"/>
      <c r="AL82" s="8"/>
      <c r="AM82" s="8"/>
      <c r="AN82" s="8"/>
      <c r="AO82" s="8"/>
      <c r="AP82" s="8"/>
      <c r="AQ82" s="8"/>
      <c r="AR82" s="8"/>
      <c r="AS82" s="8"/>
      <c r="AT82" s="8"/>
      <c r="AU82" s="8"/>
      <c r="AV82" s="8"/>
      <c r="AW82" s="8"/>
      <c r="AX82" s="8"/>
      <c r="AY82" s="8"/>
      <c r="AZ82" s="8"/>
      <c r="BA82" s="8"/>
      <c r="BB82" s="8"/>
      <c r="BC82" s="8"/>
      <c r="BD82" s="8"/>
      <c r="BE82" s="8"/>
      <c r="BF82" s="8"/>
      <c r="BG82" s="8"/>
      <c r="BH82" s="8"/>
      <c r="BI82" s="8"/>
      <c r="BJ82" s="8"/>
      <c r="BK82" s="8"/>
      <c r="BL82" s="8"/>
      <c r="BM82" s="8"/>
    </row>
    <row r="83" spans="1:65" x14ac:dyDescent="0.35">
      <c r="A83" s="8"/>
      <c r="B83" s="8"/>
      <c r="C83" s="8"/>
      <c r="D83" s="8"/>
      <c r="E83" s="8"/>
      <c r="F83" s="8"/>
      <c r="G83" s="8"/>
      <c r="H83" s="8"/>
      <c r="I83" s="8"/>
      <c r="J83" s="8"/>
      <c r="K83" s="8"/>
      <c r="L83" s="8"/>
      <c r="M83" s="8"/>
      <c r="N83" s="8"/>
      <c r="O83" s="8"/>
      <c r="P83" s="8"/>
      <c r="Q83" s="8"/>
      <c r="R83" s="8"/>
      <c r="S83" s="8"/>
      <c r="T83" s="8"/>
      <c r="U83" s="8"/>
      <c r="V83" s="8"/>
      <c r="W83" s="8"/>
      <c r="X83" s="8"/>
      <c r="Y83" s="8"/>
      <c r="Z83" s="8"/>
      <c r="AA83" s="8"/>
      <c r="AB83" s="8"/>
      <c r="AC83" s="8"/>
      <c r="AD83" s="8"/>
      <c r="AE83" s="8"/>
      <c r="AF83" s="8"/>
      <c r="AG83" s="8"/>
      <c r="AH83" s="8"/>
      <c r="AI83" s="8"/>
      <c r="AJ83" s="8"/>
      <c r="AK83" s="8"/>
      <c r="AL83" s="8"/>
      <c r="AM83" s="8"/>
      <c r="AN83" s="8"/>
      <c r="AO83" s="8"/>
      <c r="AP83" s="8"/>
      <c r="AQ83" s="8"/>
      <c r="AR83" s="8"/>
      <c r="AS83" s="8"/>
      <c r="AT83" s="8"/>
      <c r="AU83" s="8"/>
      <c r="AV83" s="8"/>
      <c r="AW83" s="8"/>
      <c r="AX83" s="8"/>
      <c r="AY83" s="8"/>
      <c r="AZ83" s="8"/>
      <c r="BA83" s="8"/>
      <c r="BB83" s="8"/>
      <c r="BC83" s="8"/>
      <c r="BD83" s="8"/>
      <c r="BE83" s="8"/>
      <c r="BF83" s="8"/>
      <c r="BG83" s="8"/>
      <c r="BH83" s="8"/>
      <c r="BI83" s="8"/>
      <c r="BJ83" s="8"/>
      <c r="BK83" s="8"/>
      <c r="BL83" s="8"/>
      <c r="BM83" s="8"/>
    </row>
    <row r="84" spans="1:65" x14ac:dyDescent="0.35">
      <c r="A84" s="8"/>
      <c r="B84" s="8"/>
      <c r="C84" s="8"/>
      <c r="D84" s="8"/>
      <c r="E84" s="8"/>
      <c r="F84" s="8"/>
      <c r="G84" s="8"/>
      <c r="H84" s="8"/>
      <c r="I84" s="8"/>
      <c r="J84" s="8"/>
      <c r="K84" s="8"/>
      <c r="L84" s="8"/>
      <c r="M84" s="8"/>
      <c r="N84" s="8"/>
      <c r="O84" s="8"/>
      <c r="P84" s="8"/>
      <c r="Q84" s="8"/>
      <c r="R84" s="8"/>
      <c r="S84" s="8"/>
      <c r="T84" s="8"/>
      <c r="U84" s="8"/>
      <c r="V84" s="8"/>
      <c r="W84" s="8"/>
      <c r="X84" s="8"/>
      <c r="Y84" s="8"/>
      <c r="Z84" s="8"/>
      <c r="AA84" s="8"/>
      <c r="AB84" s="8"/>
      <c r="AC84" s="8"/>
      <c r="AD84" s="8"/>
      <c r="AE84" s="8"/>
      <c r="AF84" s="8"/>
      <c r="AG84" s="8"/>
      <c r="AH84" s="8"/>
      <c r="AI84" s="8"/>
      <c r="AJ84" s="8"/>
      <c r="AK84" s="8"/>
      <c r="AL84" s="8"/>
      <c r="AM84" s="8"/>
      <c r="AN84" s="8"/>
      <c r="AO84" s="8"/>
      <c r="AP84" s="8"/>
      <c r="AQ84" s="8"/>
      <c r="AR84" s="8"/>
      <c r="AS84" s="8"/>
      <c r="AT84" s="8"/>
      <c r="AU84" s="8"/>
      <c r="AV84" s="8"/>
      <c r="AW84" s="8"/>
      <c r="AX84" s="8"/>
      <c r="AY84" s="8"/>
      <c r="AZ84" s="8"/>
      <c r="BA84" s="8"/>
      <c r="BB84" s="8"/>
      <c r="BC84" s="8"/>
      <c r="BD84" s="8"/>
      <c r="BE84" s="8"/>
      <c r="BF84" s="8"/>
      <c r="BG84" s="8"/>
      <c r="BH84" s="8"/>
      <c r="BI84" s="8"/>
      <c r="BJ84" s="8"/>
      <c r="BK84" s="8"/>
      <c r="BL84" s="8"/>
      <c r="BM84" s="8"/>
    </row>
    <row r="85" spans="1:65" x14ac:dyDescent="0.35">
      <c r="A85" s="8"/>
      <c r="B85" s="8"/>
      <c r="C85" s="8"/>
      <c r="D85" s="8"/>
      <c r="E85" s="8"/>
      <c r="F85" s="8"/>
      <c r="G85" s="8"/>
      <c r="H85" s="8"/>
      <c r="I85" s="8"/>
      <c r="J85" s="8"/>
      <c r="K85" s="8"/>
      <c r="L85" s="8"/>
      <c r="M85" s="8"/>
      <c r="N85" s="8"/>
      <c r="O85" s="8"/>
      <c r="P85" s="8"/>
      <c r="Q85" s="8"/>
      <c r="R85" s="8"/>
      <c r="S85" s="8"/>
      <c r="T85" s="8"/>
      <c r="U85" s="8"/>
      <c r="V85" s="8"/>
      <c r="W85" s="8"/>
      <c r="X85" s="8"/>
      <c r="Y85" s="8"/>
      <c r="Z85" s="8"/>
      <c r="AA85" s="8"/>
      <c r="AB85" s="8"/>
      <c r="AC85" s="8"/>
      <c r="AD85" s="8"/>
      <c r="AE85" s="8"/>
      <c r="AF85" s="8"/>
      <c r="AG85" s="8"/>
      <c r="AH85" s="8"/>
      <c r="AI85" s="8"/>
      <c r="AJ85" s="8"/>
      <c r="AK85" s="8"/>
      <c r="AL85" s="8"/>
      <c r="AM85" s="8"/>
      <c r="AN85" s="8"/>
      <c r="AO85" s="8"/>
      <c r="AP85" s="8"/>
      <c r="AQ85" s="8"/>
      <c r="AR85" s="8"/>
      <c r="AS85" s="8"/>
      <c r="AT85" s="8"/>
      <c r="AU85" s="8"/>
      <c r="AV85" s="8"/>
      <c r="AW85" s="8"/>
      <c r="AX85" s="8"/>
      <c r="AY85" s="8"/>
      <c r="AZ85" s="8"/>
      <c r="BA85" s="8"/>
      <c r="BB85" s="8"/>
      <c r="BC85" s="8"/>
      <c r="BD85" s="8"/>
      <c r="BE85" s="8"/>
      <c r="BF85" s="8"/>
      <c r="BG85" s="8"/>
      <c r="BH85" s="8"/>
      <c r="BI85" s="8"/>
      <c r="BJ85" s="8"/>
      <c r="BK85" s="8"/>
      <c r="BL85" s="8"/>
      <c r="BM85" s="8"/>
    </row>
    <row r="86" spans="1:65" x14ac:dyDescent="0.35">
      <c r="A86" s="8"/>
      <c r="B86" s="8"/>
      <c r="C86" s="8"/>
      <c r="D86" s="8"/>
      <c r="E86" s="8"/>
      <c r="F86" s="8"/>
      <c r="G86" s="8"/>
      <c r="H86" s="8"/>
      <c r="I86" s="8"/>
      <c r="J86" s="8"/>
      <c r="K86" s="8"/>
      <c r="L86" s="8"/>
      <c r="M86" s="8"/>
      <c r="N86" s="8"/>
      <c r="O86" s="8"/>
      <c r="P86" s="8"/>
      <c r="Q86" s="8"/>
      <c r="R86" s="8"/>
      <c r="S86" s="8"/>
      <c r="T86" s="8"/>
      <c r="U86" s="8"/>
      <c r="V86" s="8"/>
      <c r="W86" s="8"/>
      <c r="X86" s="8"/>
      <c r="Y86" s="8"/>
      <c r="Z86" s="8"/>
      <c r="AA86" s="8"/>
      <c r="AB86" s="8"/>
      <c r="AC86" s="8"/>
      <c r="AD86" s="8"/>
      <c r="AE86" s="8"/>
      <c r="AF86" s="8"/>
      <c r="AG86" s="8"/>
      <c r="AH86" s="8"/>
      <c r="AI86" s="8"/>
      <c r="AJ86" s="8"/>
      <c r="AK86" s="8"/>
      <c r="AL86" s="8"/>
      <c r="AM86" s="8"/>
      <c r="AN86" s="8"/>
      <c r="AO86" s="8"/>
      <c r="AP86" s="8"/>
      <c r="AQ86" s="8"/>
      <c r="AR86" s="8"/>
      <c r="AS86" s="8"/>
      <c r="AT86" s="8"/>
      <c r="AU86" s="8"/>
      <c r="AV86" s="8"/>
      <c r="AW86" s="8"/>
      <c r="AX86" s="8"/>
      <c r="AY86" s="8"/>
      <c r="AZ86" s="8"/>
      <c r="BA86" s="8"/>
      <c r="BB86" s="8"/>
      <c r="BC86" s="8"/>
      <c r="BD86" s="8"/>
      <c r="BE86" s="8"/>
      <c r="BF86" s="8"/>
      <c r="BG86" s="8"/>
      <c r="BH86" s="8"/>
      <c r="BI86" s="8"/>
      <c r="BJ86" s="8"/>
      <c r="BK86" s="8"/>
      <c r="BL86" s="8"/>
      <c r="BM86" s="8"/>
    </row>
    <row r="87" spans="1:65" x14ac:dyDescent="0.35">
      <c r="A87" s="8"/>
      <c r="B87" s="8"/>
      <c r="C87" s="8"/>
      <c r="D87" s="8"/>
      <c r="E87" s="8"/>
      <c r="F87" s="8"/>
      <c r="G87" s="8"/>
      <c r="H87" s="8"/>
      <c r="I87" s="8"/>
      <c r="J87" s="8"/>
      <c r="K87" s="8"/>
      <c r="L87" s="8"/>
      <c r="M87" s="8"/>
      <c r="N87" s="8"/>
      <c r="O87" s="8"/>
      <c r="P87" s="8"/>
      <c r="Q87" s="8"/>
      <c r="R87" s="8"/>
      <c r="S87" s="8"/>
      <c r="T87" s="8"/>
      <c r="U87" s="8"/>
      <c r="V87" s="8"/>
      <c r="W87" s="8"/>
      <c r="X87" s="8"/>
      <c r="Y87" s="8"/>
      <c r="Z87" s="8"/>
      <c r="AA87" s="8"/>
      <c r="AB87" s="8"/>
      <c r="AC87" s="8"/>
      <c r="AD87" s="8"/>
      <c r="AE87" s="8"/>
      <c r="AF87" s="8"/>
      <c r="AG87" s="8"/>
      <c r="AH87" s="8"/>
      <c r="AI87" s="8"/>
      <c r="AJ87" s="8"/>
      <c r="AK87" s="8"/>
      <c r="AL87" s="8"/>
      <c r="AM87" s="8"/>
      <c r="AN87" s="8"/>
      <c r="AO87" s="8"/>
      <c r="AP87" s="8"/>
      <c r="AQ87" s="8"/>
      <c r="AR87" s="8"/>
      <c r="AS87" s="8"/>
      <c r="AT87" s="8"/>
      <c r="AU87" s="8"/>
      <c r="AV87" s="8"/>
      <c r="AW87" s="8"/>
      <c r="AX87" s="8"/>
      <c r="AY87" s="8"/>
      <c r="AZ87" s="8"/>
      <c r="BA87" s="8"/>
      <c r="BB87" s="8"/>
      <c r="BC87" s="8"/>
      <c r="BD87" s="8"/>
      <c r="BE87" s="8"/>
      <c r="BF87" s="8"/>
      <c r="BG87" s="8"/>
      <c r="BH87" s="8"/>
      <c r="BI87" s="8"/>
      <c r="BJ87" s="8"/>
      <c r="BK87" s="8"/>
      <c r="BL87" s="8"/>
      <c r="BM87" s="8"/>
    </row>
    <row r="88" spans="1:65" x14ac:dyDescent="0.35">
      <c r="A88" s="8"/>
      <c r="B88" s="8"/>
      <c r="C88" s="8"/>
      <c r="D88" s="8"/>
      <c r="E88" s="8"/>
      <c r="F88" s="8"/>
      <c r="G88" s="8"/>
      <c r="H88" s="8"/>
      <c r="I88" s="8"/>
      <c r="J88" s="8"/>
      <c r="K88" s="8"/>
      <c r="L88" s="8"/>
      <c r="M88" s="8"/>
      <c r="N88" s="8"/>
      <c r="O88" s="8"/>
      <c r="P88" s="8"/>
      <c r="Q88" s="8"/>
      <c r="R88" s="8"/>
      <c r="S88" s="8"/>
      <c r="T88" s="8"/>
      <c r="U88" s="8"/>
      <c r="V88" s="8"/>
      <c r="W88" s="8"/>
      <c r="X88" s="8"/>
      <c r="Y88" s="8"/>
      <c r="Z88" s="8"/>
      <c r="AA88" s="8"/>
      <c r="AB88" s="8"/>
      <c r="AC88" s="8"/>
      <c r="AD88" s="8"/>
      <c r="AE88" s="8"/>
      <c r="AF88" s="8"/>
      <c r="AG88" s="8"/>
      <c r="AH88" s="8"/>
      <c r="AI88" s="8"/>
      <c r="AJ88" s="8"/>
      <c r="AK88" s="8"/>
      <c r="AL88" s="8"/>
      <c r="AM88" s="8"/>
      <c r="AN88" s="8"/>
      <c r="AO88" s="8"/>
      <c r="AP88" s="8"/>
      <c r="AQ88" s="8"/>
      <c r="AR88" s="8"/>
      <c r="AS88" s="8"/>
      <c r="AT88" s="8"/>
      <c r="AU88" s="8"/>
      <c r="AV88" s="8"/>
      <c r="AW88" s="8"/>
      <c r="AX88" s="8"/>
      <c r="AY88" s="8"/>
      <c r="AZ88" s="8"/>
      <c r="BA88" s="8"/>
      <c r="BB88" s="8"/>
      <c r="BC88" s="8"/>
      <c r="BD88" s="8"/>
      <c r="BE88" s="8"/>
      <c r="BF88" s="8"/>
      <c r="BG88" s="8"/>
      <c r="BH88" s="8"/>
      <c r="BI88" s="8"/>
      <c r="BJ88" s="8"/>
      <c r="BK88" s="8"/>
      <c r="BL88" s="8"/>
      <c r="BM88" s="8"/>
    </row>
  </sheetData>
  <mergeCells count="1">
    <mergeCell ref="B1:Z8"/>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EA80BC7-5200-47C8-9675-B0FE9519C8D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Worksheets</vt:lpstr>
      </vt:variant>
      <vt:variant>
        <vt:i4>7</vt:i4>
      </vt:variant>
    </vt:vector>
  </HeadingPairs>
  <TitlesOfParts>
    <vt:vector size="7" baseType="lpstr">
      <vt:lpstr>SalesData</vt:lpstr>
      <vt:lpstr>Pivot_Map </vt:lpstr>
      <vt:lpstr>Pivot_Trend</vt:lpstr>
      <vt:lpstr>Pivot_Gender</vt:lpstr>
      <vt:lpstr>Pivot_Product</vt:lpstr>
      <vt:lpstr>Pivot_KPI's</vt:lpstr>
      <vt:lpstr>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Adedara Edward</cp:lastModifiedBy>
  <cp:revision/>
  <dcterms:created xsi:type="dcterms:W3CDTF">2025-05-11T23:05:36Z</dcterms:created>
  <dcterms:modified xsi:type="dcterms:W3CDTF">2025-05-26T16:07:04Z</dcterms:modified>
  <cp:category/>
  <cp:contentStatus/>
</cp:coreProperties>
</file>